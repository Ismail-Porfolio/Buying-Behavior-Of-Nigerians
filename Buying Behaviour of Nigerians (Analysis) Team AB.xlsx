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OneDrive\Desktop\"/>
    </mc:Choice>
  </mc:AlternateContent>
  <xr:revisionPtr revIDLastSave="0" documentId="8_{974AB41A-0826-4001-AFF1-ADF6E1305F76}" xr6:coauthVersionLast="47" xr6:coauthVersionMax="47" xr10:uidLastSave="{00000000-0000-0000-0000-000000000000}"/>
  <bookViews>
    <workbookView xWindow="0" yWindow="750" windowWidth="19200" windowHeight="10050" activeTab="1" xr2:uid="{00000000-000D-0000-FFFF-FFFF00000000}"/>
  </bookViews>
  <sheets>
    <sheet name="Form Responses 1" sheetId="1" r:id="rId1"/>
    <sheet name="Analysis" sheetId="3" r:id="rId2"/>
    <sheet name="Dashboard" sheetId="4" r:id="rId3"/>
  </sheets>
  <definedNames>
    <definedName name="_xlnm._FilterDatabase" localSheetId="1" hidden="1">Analysis!$A$18:$B$18</definedName>
    <definedName name="_xlnm._FilterDatabase" localSheetId="0" hidden="1">'Form Responses 1'!$B$1:$L$108</definedName>
    <definedName name="_xlcn.WorksheetConnection_BuyingBehaviourofNigerians111.xlsxBuying_Behaviour1" hidden="1">Buying_Behaviour[]</definedName>
    <definedName name="Slicer_AGE_RANGE">#N/A</definedName>
    <definedName name="Slicer_GENDER">#N/A</definedName>
    <definedName name="Slicer_MONTHLY_SPEND_CATEGORY">#N/A</definedName>
  </definedNames>
  <calcPr calcId="191029"/>
  <pivotCaches>
    <pivotCache cacheId="100" r:id="rId4"/>
    <pivotCache cacheId="101" r:id="rId5"/>
    <pivotCache cacheId="102" r:id="rId6"/>
    <pivotCache cacheId="103" r:id="rId7"/>
    <pivotCache cacheId="104" r:id="rId8"/>
    <pivotCache cacheId="105" r:id="rId9"/>
    <pivotCache cacheId="106" r:id="rId10"/>
    <pivotCache cacheId="107" r:id="rId11"/>
    <pivotCache cacheId="108" r:id="rId12"/>
    <pivotCache cacheId="109" r:id="rId13"/>
    <pivotCache cacheId="110" r:id="rId14"/>
    <pivotCache cacheId="111" r:id="rId15"/>
    <pivotCache cacheId="117"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uying_Behaviour" name="Buying_Behaviour" connection="WorksheetConnection_Buying Behaviour of Nigerians-111.xlsx!Buying_Behaviou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9" i="3" l="1"/>
  <c r="B7" i="3"/>
  <c r="B8" i="3"/>
  <c r="B9" i="3"/>
  <c r="B10" i="3"/>
  <c r="B6" i="3"/>
  <c r="B3" i="3"/>
  <c r="B2" i="3"/>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2" i="1"/>
  <c r="H3" i="1"/>
  <c r="H4" i="1"/>
  <c r="H5" i="1"/>
  <c r="H6" i="1"/>
  <c r="H7" i="1"/>
  <c r="H8" i="1"/>
  <c r="H9" i="1"/>
  <c r="H10" i="1"/>
  <c r="H11" i="1"/>
  <c r="H12" i="1"/>
  <c r="H13" i="1"/>
  <c r="H14" i="1"/>
  <c r="H15" i="1"/>
  <c r="H16" i="1"/>
  <c r="H17" i="1"/>
  <c r="H18" i="1"/>
  <c r="H19" i="1"/>
  <c r="B26" i="3" s="1"/>
  <c r="H20" i="1"/>
  <c r="H21" i="1"/>
  <c r="H22" i="1"/>
  <c r="H23" i="1"/>
  <c r="H24" i="1"/>
  <c r="H25" i="1"/>
  <c r="H26" i="1"/>
  <c r="H27" i="1"/>
  <c r="H28" i="1"/>
  <c r="H29" i="1"/>
  <c r="H30" i="1"/>
  <c r="H31" i="1"/>
  <c r="H32" i="1"/>
  <c r="H33" i="1"/>
  <c r="H34" i="1"/>
  <c r="H35" i="1"/>
  <c r="H36" i="1"/>
  <c r="H37" i="1"/>
  <c r="H38" i="1"/>
  <c r="H39" i="1"/>
  <c r="B22" i="3" s="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B30" i="3" s="1"/>
  <c r="H85" i="1"/>
  <c r="H86" i="1"/>
  <c r="H87" i="1"/>
  <c r="H88" i="1"/>
  <c r="H89" i="1"/>
  <c r="H90" i="1"/>
  <c r="H91" i="1"/>
  <c r="H92" i="1"/>
  <c r="H93" i="1"/>
  <c r="H94" i="1"/>
  <c r="H95" i="1"/>
  <c r="H96" i="1"/>
  <c r="H97" i="1"/>
  <c r="H98" i="1"/>
  <c r="H99" i="1"/>
  <c r="H100" i="1"/>
  <c r="H101" i="1"/>
  <c r="H102" i="1"/>
  <c r="H103" i="1"/>
  <c r="H104" i="1"/>
  <c r="H105" i="1"/>
  <c r="H106" i="1"/>
  <c r="H107" i="1"/>
  <c r="H108" i="1"/>
  <c r="H2" i="1"/>
  <c r="B24" i="3" l="1"/>
  <c r="B32" i="3"/>
  <c r="B27" i="3"/>
  <c r="B31" i="3"/>
  <c r="B28" i="3"/>
  <c r="B20" i="3"/>
  <c r="B23" i="3"/>
  <c r="B33" i="3"/>
  <c r="B29" i="3"/>
  <c r="B25" i="3"/>
  <c r="B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711CF3-D210-4496-AF59-5FCC842F0BD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8A6D49-1526-4DA5-AC56-3FC5FD47265B}" name="WorksheetConnection_Buying Behaviour of Nigerians-111.xlsx!Buying_Behaviour" type="102" refreshedVersion="7" minRefreshableVersion="5">
    <extLst>
      <ext xmlns:x15="http://schemas.microsoft.com/office/spreadsheetml/2010/11/main" uri="{DE250136-89BD-433C-8126-D09CA5730AF9}">
        <x15:connection id="Buying_Behaviour" autoDelete="1">
          <x15:rangePr sourceName="_xlcn.WorksheetConnection_BuyingBehaviourofNigerians111.xlsxBuying_Behaviour1"/>
        </x15:connection>
      </ext>
    </extLst>
  </connection>
</connections>
</file>

<file path=xl/sharedStrings.xml><?xml version="1.0" encoding="utf-8"?>
<sst xmlns="http://schemas.openxmlformats.org/spreadsheetml/2006/main" count="879" uniqueCount="79">
  <si>
    <t>Gender</t>
  </si>
  <si>
    <t>Location</t>
  </si>
  <si>
    <t>Male</t>
  </si>
  <si>
    <t>26-35</t>
  </si>
  <si>
    <t>Cash</t>
  </si>
  <si>
    <t>Food</t>
  </si>
  <si>
    <t>Female</t>
  </si>
  <si>
    <t>18-25</t>
  </si>
  <si>
    <t>Lagos</t>
  </si>
  <si>
    <t>Transfer</t>
  </si>
  <si>
    <t>Ads</t>
  </si>
  <si>
    <t>Benin</t>
  </si>
  <si>
    <t>Physical Store</t>
  </si>
  <si>
    <t>Friends</t>
  </si>
  <si>
    <t>Electronics</t>
  </si>
  <si>
    <t>Groceries</t>
  </si>
  <si>
    <t>Quality</t>
  </si>
  <si>
    <t>Beauty</t>
  </si>
  <si>
    <t>Card</t>
  </si>
  <si>
    <t>Discounts</t>
  </si>
  <si>
    <t>Fashion</t>
  </si>
  <si>
    <t>Ogun</t>
  </si>
  <si>
    <t>Kano</t>
  </si>
  <si>
    <t>WhatsApp</t>
  </si>
  <si>
    <t>36-45</t>
  </si>
  <si>
    <t>Jumia</t>
  </si>
  <si>
    <t>FCT</t>
  </si>
  <si>
    <t>Wallet</t>
  </si>
  <si>
    <t>Kwara</t>
  </si>
  <si>
    <t>Anambra</t>
  </si>
  <si>
    <t>Ondo</t>
  </si>
  <si>
    <t>Rivers</t>
  </si>
  <si>
    <t>Imo</t>
  </si>
  <si>
    <t>Oyo</t>
  </si>
  <si>
    <t>Kaduna</t>
  </si>
  <si>
    <t>Enugu</t>
  </si>
  <si>
    <t>Osun</t>
  </si>
  <si>
    <t>Bayelsa</t>
  </si>
  <si>
    <t>Instagram</t>
  </si>
  <si>
    <t>Others</t>
  </si>
  <si>
    <t>Influencers</t>
  </si>
  <si>
    <t>Male Shoppers</t>
  </si>
  <si>
    <t>Female Shoppers</t>
  </si>
  <si>
    <t>Gender Count</t>
  </si>
  <si>
    <t>Platform</t>
  </si>
  <si>
    <t>Total Spending</t>
  </si>
  <si>
    <t>High Spenders</t>
  </si>
  <si>
    <t>Column Labels</t>
  </si>
  <si>
    <t>S/N</t>
  </si>
  <si>
    <t>GENDER</t>
  </si>
  <si>
    <t>AGE RANGE</t>
  </si>
  <si>
    <t>LOCATION</t>
  </si>
  <si>
    <t>SHOPPING FREQUENCY (MONTHLY)</t>
  </si>
  <si>
    <t>ACTIVE SHOPPER</t>
  </si>
  <si>
    <t>MONTHLY SPEND CATEGORY</t>
  </si>
  <si>
    <t>AVERAGE SPEND MONTHLY</t>
  </si>
  <si>
    <t>SHOPPING PLATFORMS</t>
  </si>
  <si>
    <t>BUYING DECISION INFLUENCE</t>
  </si>
  <si>
    <t>PRODUCT BOUGHT FREQUENTLY</t>
  </si>
  <si>
    <t>Grand Total</t>
  </si>
  <si>
    <t>PREFERRED PAYMENT METHODS</t>
  </si>
  <si>
    <t>PAYMENT METHODS</t>
  </si>
  <si>
    <t>High</t>
  </si>
  <si>
    <t>Low</t>
  </si>
  <si>
    <t>Medium</t>
  </si>
  <si>
    <t>Count of MONTHLY SPEND CATEGORY</t>
  </si>
  <si>
    <t>% OF PAYMENT METHODS</t>
  </si>
  <si>
    <t>Count of AVERAGE SPEND MONTHLY</t>
  </si>
  <si>
    <t>Count of AGE RANGE</t>
  </si>
  <si>
    <t xml:space="preserve">SPEND CATEGORY </t>
  </si>
  <si>
    <t>Product Category</t>
  </si>
  <si>
    <t>AVERAGE MONTHLY SPEND</t>
  </si>
  <si>
    <t>INCOME CATEGORY</t>
  </si>
  <si>
    <t xml:space="preserve">Avg Shopping Frequency </t>
  </si>
  <si>
    <t>Average Monthly Spending</t>
  </si>
  <si>
    <t xml:space="preserve">No. of Responders </t>
  </si>
  <si>
    <t>% of Total</t>
  </si>
  <si>
    <t>No. of Respondents</t>
  </si>
  <si>
    <t>Count of BUYING DECISION INFLUENCE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</si>
</sst>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quot;₦&quot;#,##0"/>
    <numFmt numFmtId="166" formatCode="_-[$₦-466]\ * #,##0_-;\-[$₦-466]\ * #,##0_-;_-[$₦-466]\ * &quot;-&quot;??_-;_-@_-"/>
    <numFmt numFmtId="168" formatCode="[$₦-466]\ #,##0"/>
    <numFmt numFmtId="169" formatCode="[$₦-466]\ #,##0.00"/>
    <numFmt numFmtId="170" formatCode="&quot;$&quot;#,##0.00"/>
  </numFmts>
  <fonts count="5" x14ac:knownFonts="1">
    <font>
      <sz val="10"/>
      <color rgb="FF000000"/>
      <name val="Arial"/>
      <scheme val="minor"/>
    </font>
    <font>
      <sz val="10"/>
      <color theme="1"/>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92D050"/>
        <bgColor rgb="FF5B3F86"/>
      </patternFill>
    </fill>
    <fill>
      <patternFill patternType="solid">
        <fgColor rgb="FFD8F3DC"/>
        <bgColor indexed="64"/>
      </patternFill>
    </fill>
    <fill>
      <patternFill patternType="solid">
        <fgColor rgb="FF92D050"/>
        <bgColor indexed="64"/>
      </patternFill>
    </fill>
  </fills>
  <borders count="19">
    <border>
      <left/>
      <right/>
      <top/>
      <bottom/>
      <diagonal/>
    </border>
    <border>
      <left/>
      <right/>
      <top/>
      <bottom style="thin">
        <color rgb="FF5B3F86"/>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indexed="65"/>
      </left>
      <right style="thin">
        <color rgb="FF999999"/>
      </right>
      <top style="thin">
        <color rgb="FF999999"/>
      </top>
      <bottom/>
      <diagonal/>
    </border>
    <border>
      <left style="thin">
        <color rgb="FF999999"/>
      </left>
      <right/>
      <top style="thin">
        <color indexed="65"/>
      </top>
      <bottom style="thin">
        <color rgb="FF999999"/>
      </bottom>
      <diagonal/>
    </border>
    <border>
      <left style="thin">
        <color rgb="FF999999"/>
      </left>
      <right style="thin">
        <color rgb="FF999999"/>
      </right>
      <top style="thin">
        <color indexed="65"/>
      </top>
      <bottom style="thin">
        <color rgb="FF999999"/>
      </bottom>
      <diagonal/>
    </border>
    <border>
      <left/>
      <right style="thin">
        <color rgb="FF999999"/>
      </right>
      <top style="thin">
        <color rgb="FF999999"/>
      </top>
      <bottom/>
      <diagonal/>
    </border>
    <border>
      <left/>
      <right style="thin">
        <color rgb="FF999999"/>
      </right>
      <top style="thin">
        <color indexed="65"/>
      </top>
      <bottom style="thin">
        <color rgb="FF999999"/>
      </bottom>
      <diagonal/>
    </border>
    <border>
      <left/>
      <right style="thin">
        <color rgb="FF999999"/>
      </right>
      <top style="thin">
        <color indexed="65"/>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top style="thin">
        <color indexed="65"/>
      </top>
      <bottom style="thin">
        <color rgb="FF999999"/>
      </bottom>
      <diagonal/>
    </border>
  </borders>
  <cellStyleXfs count="2">
    <xf numFmtId="0" fontId="0" fillId="0" borderId="0"/>
    <xf numFmtId="164" fontId="2" fillId="0" borderId="0" applyFont="0" applyFill="0" applyBorder="0" applyAlignment="0" applyProtection="0"/>
  </cellStyleXfs>
  <cellXfs count="68">
    <xf numFmtId="0" fontId="0" fillId="0" borderId="0" xfId="0"/>
    <xf numFmtId="0" fontId="0" fillId="0" borderId="2" xfId="0" pivotButton="1" applyBorder="1"/>
    <xf numFmtId="0" fontId="0" fillId="0" borderId="4" xfId="0" applyBorder="1"/>
    <xf numFmtId="0" fontId="0" fillId="0" borderId="2" xfId="0" applyBorder="1" applyAlignment="1">
      <alignment horizontal="left"/>
    </xf>
    <xf numFmtId="0" fontId="0" fillId="0" borderId="3" xfId="0" applyBorder="1" applyAlignment="1">
      <alignment horizontal="left"/>
    </xf>
    <xf numFmtId="0" fontId="1" fillId="2" borderId="0" xfId="0" applyFont="1" applyFill="1" applyAlignment="1">
      <alignment vertical="center"/>
    </xf>
    <xf numFmtId="1" fontId="1" fillId="2" borderId="0" xfId="0" applyNumberFormat="1" applyFont="1" applyFill="1" applyAlignment="1">
      <alignment vertical="center"/>
    </xf>
    <xf numFmtId="165" fontId="1" fillId="2" borderId="0" xfId="1" applyNumberFormat="1" applyFont="1" applyFill="1" applyBorder="1" applyAlignment="1">
      <alignment vertical="center"/>
    </xf>
    <xf numFmtId="0" fontId="1" fillId="3" borderId="0" xfId="0" applyFont="1" applyFill="1" applyAlignment="1">
      <alignment vertical="center"/>
    </xf>
    <xf numFmtId="165" fontId="1" fillId="3" borderId="0" xfId="1" applyNumberFormat="1" applyFont="1" applyFill="1" applyBorder="1" applyAlignment="1">
      <alignment vertical="center"/>
    </xf>
    <xf numFmtId="49" fontId="1" fillId="2" borderId="0" xfId="0" applyNumberFormat="1" applyFont="1" applyFill="1" applyAlignment="1">
      <alignment vertical="center"/>
    </xf>
    <xf numFmtId="49" fontId="1" fillId="3" borderId="0" xfId="0" applyNumberFormat="1" applyFont="1" applyFill="1" applyAlignment="1">
      <alignment vertical="center"/>
    </xf>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165" fontId="1" fillId="2" borderId="1" xfId="1" applyNumberFormat="1" applyFont="1" applyFill="1" applyBorder="1" applyAlignment="1">
      <alignment vertical="center"/>
    </xf>
    <xf numFmtId="165" fontId="0" fillId="0" borderId="0" xfId="0" applyNumberFormat="1"/>
    <xf numFmtId="0" fontId="0" fillId="0" borderId="2" xfId="0" applyBorder="1"/>
    <xf numFmtId="0" fontId="0" fillId="0" borderId="7" xfId="0" applyBorder="1"/>
    <xf numFmtId="0" fontId="0" fillId="0" borderId="8" xfId="0" applyBorder="1" applyAlignment="1">
      <alignment horizontal="left"/>
    </xf>
    <xf numFmtId="0" fontId="0" fillId="0" borderId="10" xfId="0" applyBorder="1"/>
    <xf numFmtId="1" fontId="0" fillId="0" borderId="2" xfId="0" applyNumberFormat="1" applyBorder="1"/>
    <xf numFmtId="1" fontId="0" fillId="0" borderId="10" xfId="0" applyNumberFormat="1" applyBorder="1"/>
    <xf numFmtId="1" fontId="0" fillId="0" borderId="8" xfId="0" applyNumberFormat="1" applyBorder="1"/>
    <xf numFmtId="1" fontId="0" fillId="0" borderId="11" xfId="0" applyNumberFormat="1" applyBorder="1"/>
    <xf numFmtId="1" fontId="0" fillId="0" borderId="3" xfId="0" applyNumberFormat="1" applyBorder="1"/>
    <xf numFmtId="1" fontId="0" fillId="0" borderId="12" xfId="0" applyNumberFormat="1" applyBorder="1"/>
    <xf numFmtId="49" fontId="1" fillId="2" borderId="0" xfId="0" applyNumberFormat="1" applyFont="1" applyFill="1" applyBorder="1" applyAlignment="1">
      <alignment vertical="center"/>
    </xf>
    <xf numFmtId="49" fontId="1" fillId="3" borderId="0" xfId="0" applyNumberFormat="1" applyFont="1" applyFill="1" applyBorder="1" applyAlignment="1">
      <alignment vertical="center"/>
    </xf>
    <xf numFmtId="0" fontId="1" fillId="2" borderId="0" xfId="0" applyFont="1" applyFill="1" applyBorder="1" applyAlignment="1">
      <alignment vertical="center"/>
    </xf>
    <xf numFmtId="0" fontId="1" fillId="3" borderId="0" xfId="0" applyFont="1" applyFill="1" applyBorder="1" applyAlignment="1">
      <alignment vertical="center"/>
    </xf>
    <xf numFmtId="0" fontId="1" fillId="2" borderId="0" xfId="0" applyNumberFormat="1" applyFont="1" applyFill="1" applyBorder="1" applyAlignment="1">
      <alignment vertical="center"/>
    </xf>
    <xf numFmtId="0" fontId="3" fillId="4" borderId="0" xfId="0" applyFont="1" applyFill="1" applyBorder="1" applyAlignment="1">
      <alignment horizontal="left" vertical="center"/>
    </xf>
    <xf numFmtId="49" fontId="3" fillId="4" borderId="0" xfId="0" applyNumberFormat="1" applyFont="1" applyFill="1" applyBorder="1" applyAlignment="1">
      <alignment horizontal="left" vertical="center"/>
    </xf>
    <xf numFmtId="1" fontId="0" fillId="0" borderId="4" xfId="0" applyNumberFormat="1" applyBorder="1"/>
    <xf numFmtId="1" fontId="0" fillId="0" borderId="5" xfId="0" applyNumberFormat="1" applyBorder="1"/>
    <xf numFmtId="1" fontId="1" fillId="2" borderId="0" xfId="0" applyNumberFormat="1" applyFont="1" applyFill="1" applyAlignment="1">
      <alignment horizontal="center" vertical="center"/>
    </xf>
    <xf numFmtId="1" fontId="1" fillId="3" borderId="0" xfId="0" applyNumberFormat="1" applyFont="1" applyFill="1" applyAlignment="1">
      <alignment horizontal="center" vertical="center"/>
    </xf>
    <xf numFmtId="1" fontId="1" fillId="2" borderId="1" xfId="0" applyNumberFormat="1" applyFont="1" applyFill="1" applyBorder="1" applyAlignment="1">
      <alignment horizontal="center" vertical="center"/>
    </xf>
    <xf numFmtId="0" fontId="0" fillId="0" borderId="13" xfId="0" applyBorder="1"/>
    <xf numFmtId="0" fontId="0" fillId="0" borderId="14" xfId="0" applyBorder="1" applyAlignment="1">
      <alignment horizontal="left"/>
    </xf>
    <xf numFmtId="9" fontId="0" fillId="0" borderId="4" xfId="0" applyNumberFormat="1" applyBorder="1"/>
    <xf numFmtId="9" fontId="0" fillId="0" borderId="5" xfId="0" applyNumberFormat="1" applyBorder="1"/>
    <xf numFmtId="0" fontId="0" fillId="5" borderId="0" xfId="0" applyFill="1"/>
    <xf numFmtId="1" fontId="0" fillId="0" borderId="0" xfId="0" applyNumberFormat="1"/>
    <xf numFmtId="1" fontId="0" fillId="0" borderId="6" xfId="0" applyNumberFormat="1" applyBorder="1"/>
    <xf numFmtId="166" fontId="0" fillId="0" borderId="4" xfId="0" applyNumberFormat="1" applyBorder="1"/>
    <xf numFmtId="166" fontId="0" fillId="0" borderId="5" xfId="0" applyNumberFormat="1" applyBorder="1"/>
    <xf numFmtId="166" fontId="0" fillId="0" borderId="9" xfId="0" applyNumberFormat="1" applyBorder="1"/>
    <xf numFmtId="9" fontId="0" fillId="0" borderId="6" xfId="0" applyNumberFormat="1" applyBorder="1"/>
    <xf numFmtId="1" fontId="0" fillId="0" borderId="14" xfId="0" applyNumberFormat="1" applyBorder="1"/>
    <xf numFmtId="0" fontId="0" fillId="0" borderId="15" xfId="0" applyBorder="1"/>
    <xf numFmtId="1" fontId="0" fillId="0" borderId="15" xfId="0" applyNumberFormat="1" applyBorder="1"/>
    <xf numFmtId="1" fontId="0" fillId="0" borderId="16" xfId="0" applyNumberFormat="1" applyBorder="1"/>
    <xf numFmtId="1" fontId="0" fillId="0" borderId="17" xfId="0" applyNumberFormat="1" applyBorder="1"/>
    <xf numFmtId="1" fontId="0" fillId="0" borderId="18" xfId="0" applyNumberFormat="1" applyBorder="1"/>
    <xf numFmtId="168" fontId="0" fillId="0" borderId="4" xfId="0" applyNumberFormat="1" applyBorder="1"/>
    <xf numFmtId="168" fontId="0" fillId="0" borderId="5" xfId="0" applyNumberFormat="1" applyBorder="1"/>
    <xf numFmtId="168" fontId="0" fillId="0" borderId="9" xfId="0" applyNumberFormat="1" applyBorder="1"/>
    <xf numFmtId="168" fontId="0" fillId="0" borderId="6" xfId="0" applyNumberFormat="1" applyBorder="1"/>
    <xf numFmtId="0" fontId="4" fillId="5" borderId="0" xfId="0" applyFont="1" applyFill="1"/>
    <xf numFmtId="1" fontId="4" fillId="5" borderId="4" xfId="0" applyNumberFormat="1" applyFont="1" applyFill="1" applyBorder="1"/>
    <xf numFmtId="169" fontId="4" fillId="5" borderId="4" xfId="0" applyNumberFormat="1" applyFont="1" applyFill="1" applyBorder="1"/>
    <xf numFmtId="0" fontId="4" fillId="5" borderId="2" xfId="0" applyFont="1" applyFill="1" applyBorder="1"/>
    <xf numFmtId="0" fontId="4" fillId="5" borderId="4" xfId="0" applyFont="1" applyFill="1" applyBorder="1"/>
    <xf numFmtId="170" fontId="0" fillId="0" borderId="3" xfId="0" applyNumberFormat="1" applyBorder="1" applyAlignment="1">
      <alignment horizontal="left"/>
    </xf>
    <xf numFmtId="1" fontId="0" fillId="0" borderId="9" xfId="0" applyNumberFormat="1" applyBorder="1"/>
    <xf numFmtId="170" fontId="4" fillId="6" borderId="2" xfId="0" applyNumberFormat="1" applyFont="1" applyFill="1" applyBorder="1"/>
    <xf numFmtId="170" fontId="4" fillId="6" borderId="4" xfId="0" applyNumberFormat="1" applyFont="1" applyFill="1" applyBorder="1"/>
  </cellXfs>
  <cellStyles count="2">
    <cellStyle name="Comma" xfId="1" builtinId="3"/>
    <cellStyle name="Normal" xfId="0" builtinId="0"/>
  </cellStyles>
  <dxfs count="312">
    <dxf>
      <numFmt numFmtId="170" formatCode="&quot;$&quot;#,##0.00"/>
    </dxf>
    <dxf>
      <numFmt numFmtId="1" formatCode="0"/>
    </dxf>
    <dxf>
      <font>
        <b/>
        <family val="2"/>
      </font>
    </dxf>
    <dxf>
      <fill>
        <patternFill patternType="solid">
          <bgColor rgb="FF92D050"/>
        </patternFill>
      </fill>
    </dxf>
    <dxf>
      <numFmt numFmtId="170" formatCode="&quot;$&quot;#,##0.00"/>
    </dxf>
    <dxf>
      <numFmt numFmtId="170" formatCode="&quot;$&quot;#,##0.00"/>
    </dxf>
    <dxf>
      <numFmt numFmtId="170" formatCode="&quot;$&quot;#,##0.00"/>
    </dxf>
    <dxf>
      <numFmt numFmtId="170" formatCode="&quot;$&quot;#,##0.00"/>
    </dxf>
    <dxf>
      <numFmt numFmtId="1" formatCode="0"/>
    </dxf>
    <dxf>
      <font>
        <b/>
        <family val="2"/>
      </font>
    </dxf>
    <dxf>
      <font>
        <b/>
        <family val="2"/>
      </font>
    </dxf>
    <dxf>
      <fill>
        <patternFill patternType="solid">
          <bgColor rgb="FF92D050"/>
        </patternFill>
      </fill>
    </dxf>
    <dxf>
      <fill>
        <patternFill patternType="solid">
          <bgColor rgb="FF92D050"/>
        </patternFill>
      </fill>
    </dxf>
    <dxf>
      <numFmt numFmtId="169" formatCode="[$₦-466]\ #,##0.00"/>
    </dxf>
    <dxf>
      <numFmt numFmtId="169" formatCode="[$₦-466]\ #,##0.00"/>
    </dxf>
    <dxf>
      <numFmt numFmtId="168" formatCode="[$₦-466]\ #,##0"/>
    </dxf>
    <dxf>
      <fill>
        <patternFill patternType="solid">
          <bgColor rgb="FFD8F3DC"/>
        </patternFill>
      </fill>
    </dxf>
    <dxf>
      <font>
        <b/>
        <family val="2"/>
      </font>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 formatCode="0"/>
    </dxf>
    <dxf>
      <numFmt numFmtId="1" formatCode="0"/>
    </dxf>
    <dxf>
      <numFmt numFmtId="166" formatCode="_-[$₦-466]\ * #,##0_-;\-[$₦-466]\ * #,##0_-;_-[$₦-466]\ * &quot;-&quot;??_-;_-@_-"/>
    </dxf>
    <dxf>
      <numFmt numFmtId="168" formatCode="[$₦-466]\ #,##0"/>
    </dxf>
    <dxf>
      <numFmt numFmtId="13" formatCode="0%"/>
    </dxf>
    <dxf>
      <font>
        <b/>
        <family val="2"/>
      </font>
    </dxf>
    <dxf>
      <font>
        <b/>
        <family val="2"/>
      </font>
    </dxf>
    <dxf>
      <fill>
        <patternFill patternType="solid">
          <bgColor rgb="FFD8F3DC"/>
        </patternFill>
      </fill>
    </dxf>
    <dxf>
      <fill>
        <patternFill patternType="solid">
          <bgColor rgb="FFD8F3DC"/>
        </patternFill>
      </fill>
    </dxf>
    <dxf>
      <numFmt numFmtId="14" formatCode="0.00%"/>
    </dxf>
    <dxf>
      <numFmt numFmtId="13" formatCode="0%"/>
    </dxf>
    <dxf>
      <numFmt numFmtId="1" formatCode="0"/>
    </dxf>
    <dxf>
      <numFmt numFmtId="170" formatCode="&quot;$&quot;#,##0.00"/>
    </dxf>
    <dxf>
      <numFmt numFmtId="1" formatCode="0"/>
    </dxf>
    <dxf>
      <font>
        <b/>
        <family val="2"/>
      </font>
    </dxf>
    <dxf>
      <fill>
        <patternFill patternType="solid">
          <bgColor rgb="FF92D050"/>
        </patternFill>
      </fill>
    </dxf>
    <dxf>
      <numFmt numFmtId="170" formatCode="&quot;$&quot;#,##0.00"/>
    </dxf>
    <dxf>
      <numFmt numFmtId="1" formatCode="0"/>
    </dxf>
    <dxf>
      <font>
        <b/>
        <family val="2"/>
      </font>
    </dxf>
    <dxf>
      <fill>
        <patternFill patternType="solid">
          <bgColor rgb="FF92D050"/>
        </patternFill>
      </fill>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3" formatCode="0%"/>
    </dxf>
    <dxf>
      <font>
        <b/>
        <family val="2"/>
      </font>
    </dxf>
    <dxf>
      <font>
        <b/>
        <family val="2"/>
      </font>
    </dxf>
    <dxf>
      <fill>
        <patternFill patternType="solid">
          <bgColor rgb="FFD8F3DC"/>
        </patternFill>
      </fill>
    </dxf>
    <dxf>
      <fill>
        <patternFill patternType="solid">
          <bgColor rgb="FFD8F3DC"/>
        </patternFill>
      </fill>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69" formatCode="[$₦-466]\ #,##0.00"/>
    </dxf>
    <dxf>
      <numFmt numFmtId="169" formatCode="[$₦-466]\ #,##0.00"/>
    </dxf>
    <dxf>
      <numFmt numFmtId="168" formatCode="[$₦-466]\ #,##0"/>
    </dxf>
    <dxf>
      <fill>
        <patternFill patternType="solid">
          <bgColor rgb="FFD8F3DC"/>
        </patternFill>
      </fill>
    </dxf>
    <dxf>
      <font>
        <b/>
        <family val="2"/>
      </font>
    </dxf>
    <dxf>
      <numFmt numFmtId="14" formatCode="0.00%"/>
    </dxf>
    <dxf>
      <numFmt numFmtId="13" formatCode="0%"/>
    </dxf>
    <dxf>
      <numFmt numFmtId="1" formatCode="0"/>
    </dxf>
    <dxf>
      <numFmt numFmtId="1" formatCode="0"/>
    </dxf>
    <dxf>
      <numFmt numFmtId="168" formatCode="[$₦-466]\ #,##0"/>
    </dxf>
    <dxf>
      <numFmt numFmtId="166" formatCode="_-[$₦-466]\ * #,##0_-;\-[$₦-466]\ * #,##0_-;_-[$₦-466]\ * &quot;-&quot;??_-;_-@_-"/>
    </dxf>
    <dxf>
      <numFmt numFmtId="170" formatCode="&quot;$&quot;#,##0.00"/>
    </dxf>
    <dxf>
      <numFmt numFmtId="170" formatCode="&quot;$&quot;#,##0.00"/>
    </dxf>
    <dxf>
      <numFmt numFmtId="170" formatCode="&quot;$&quot;#,##0.00"/>
    </dxf>
    <dxf>
      <numFmt numFmtId="170" formatCode="&quot;$&quot;#,##0.00"/>
    </dxf>
    <dxf>
      <numFmt numFmtId="1" formatCode="0"/>
    </dxf>
    <dxf>
      <font>
        <b/>
        <family val="2"/>
      </font>
    </dxf>
    <dxf>
      <font>
        <b/>
        <family val="2"/>
      </font>
    </dxf>
    <dxf>
      <fill>
        <patternFill patternType="solid">
          <bgColor rgb="FF92D050"/>
        </patternFill>
      </fill>
    </dxf>
    <dxf>
      <fill>
        <patternFill patternType="solid">
          <bgColor rgb="FF92D050"/>
        </patternFill>
      </fill>
    </dxf>
    <dxf>
      <numFmt numFmtId="170" formatCode="&quot;$&quot;#,##0.00"/>
    </dxf>
    <dxf>
      <numFmt numFmtId="1" formatCode="0"/>
    </dxf>
    <dxf>
      <font>
        <b/>
        <family val="2"/>
      </font>
    </dxf>
    <dxf>
      <fill>
        <patternFill patternType="solid">
          <bgColor rgb="FF92D050"/>
        </patternFill>
      </fill>
    </dxf>
    <dxf>
      <numFmt numFmtId="170" formatCode="&quot;$&quot;#,##0.00"/>
    </dxf>
    <dxf>
      <numFmt numFmtId="1" formatCode="0"/>
    </dxf>
    <dxf>
      <font>
        <b/>
        <family val="2"/>
      </font>
    </dxf>
    <dxf>
      <fill>
        <patternFill patternType="solid">
          <bgColor rgb="FF92D050"/>
        </patternFill>
      </fill>
    </dxf>
    <dxf>
      <numFmt numFmtId="170" formatCode="&quot;$&quot;#,##0.00"/>
    </dxf>
    <dxf>
      <numFmt numFmtId="170" formatCode="&quot;$&quot;#,##0.00"/>
    </dxf>
    <dxf>
      <numFmt numFmtId="170" formatCode="&quot;$&quot;#,##0.00"/>
    </dxf>
    <dxf>
      <numFmt numFmtId="170" formatCode="&quot;$&quot;#,##0.00"/>
    </dxf>
    <dxf>
      <numFmt numFmtId="1" formatCode="0"/>
    </dxf>
    <dxf>
      <font>
        <b/>
        <family val="2"/>
      </font>
    </dxf>
    <dxf>
      <font>
        <b/>
        <family val="2"/>
      </font>
    </dxf>
    <dxf>
      <fill>
        <patternFill patternType="solid">
          <bgColor rgb="FF92D050"/>
        </patternFill>
      </fill>
    </dxf>
    <dxf>
      <fill>
        <patternFill patternType="solid">
          <bgColor rgb="FF92D050"/>
        </patternFill>
      </fill>
    </dxf>
    <dxf>
      <numFmt numFmtId="170" formatCode="&quot;$&quot;#,##0.00"/>
    </dxf>
    <dxf>
      <numFmt numFmtId="170" formatCode="&quot;$&quot;#,##0.00"/>
    </dxf>
    <dxf>
      <numFmt numFmtId="170" formatCode="&quot;$&quot;#,##0.00"/>
    </dxf>
    <dxf>
      <numFmt numFmtId="170" formatCode="&quot;$&quot;#,##0.00"/>
    </dxf>
    <dxf>
      <numFmt numFmtId="1" formatCode="0"/>
    </dxf>
    <dxf>
      <font>
        <b/>
        <family val="2"/>
      </font>
    </dxf>
    <dxf>
      <font>
        <b/>
        <family val="2"/>
      </font>
    </dxf>
    <dxf>
      <fill>
        <patternFill patternType="solid">
          <bgColor rgb="FF92D050"/>
        </patternFill>
      </fill>
    </dxf>
    <dxf>
      <fill>
        <patternFill patternType="solid">
          <bgColor rgb="FF92D050"/>
        </patternFill>
      </fill>
    </dxf>
    <dxf>
      <numFmt numFmtId="170" formatCode="&quot;$&quot;#,##0.00"/>
    </dxf>
    <dxf>
      <numFmt numFmtId="1" formatCode="0"/>
    </dxf>
    <dxf>
      <font>
        <b/>
        <family val="2"/>
      </font>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b/>
        <family val="2"/>
      </font>
    </dxf>
    <dxf>
      <font>
        <b/>
        <family val="2"/>
      </font>
    </dxf>
    <dxf>
      <font>
        <b/>
        <family val="2"/>
      </font>
    </dxf>
    <dxf>
      <numFmt numFmtId="170" formatCode="&quot;$&quot;#,##0.00"/>
    </dxf>
    <dxf>
      <numFmt numFmtId="170" formatCode="&quot;$&quot;#,##0.00"/>
    </dxf>
    <dxf>
      <numFmt numFmtId="170" formatCode="&quot;$&quot;#,##0.00"/>
    </dxf>
    <dxf>
      <numFmt numFmtId="170" formatCode="&quot;$&quot;#,##0.00"/>
    </dxf>
    <dxf>
      <numFmt numFmtId="1" formatCode="0"/>
    </dxf>
    <dxf>
      <numFmt numFmtId="170" formatCode="&quot;$&quot;#,##0.00"/>
    </dxf>
    <dxf>
      <numFmt numFmtId="170" formatCode="&quot;$&quot;#,##0.00"/>
    </dxf>
    <dxf>
      <numFmt numFmtId="170" formatCode="&quot;$&quot;#,##0.00"/>
    </dxf>
    <dxf>
      <numFmt numFmtId="170" formatCode="&quot;$&quot;#,##0.00"/>
    </dxf>
    <dxf>
      <numFmt numFmtId="1" formatCode="0"/>
    </dxf>
    <dxf>
      <numFmt numFmtId="170" formatCode="&quot;$&quot;#,##0.00"/>
    </dxf>
    <dxf>
      <numFmt numFmtId="170" formatCode="&quot;$&quot;#,##0.00"/>
    </dxf>
    <dxf>
      <numFmt numFmtId="170" formatCode="&quot;$&quot;#,##0.00"/>
    </dxf>
    <dxf>
      <numFmt numFmtId="170" formatCode="&quot;$&quot;#,##0.00"/>
    </dxf>
    <dxf>
      <numFmt numFmtId="1" formatCode="0"/>
    </dxf>
    <dxf>
      <numFmt numFmtId="173" formatCode="0.0"/>
    </dxf>
    <dxf>
      <numFmt numFmtId="1" formatCode="0"/>
    </dxf>
    <dxf>
      <numFmt numFmtId="170" formatCode="&quot;$&quot;#,##0.00"/>
    </dxf>
    <dxf>
      <numFmt numFmtId="170" formatCode="&quot;$&quot;#,##0.00"/>
    </dxf>
    <dxf>
      <numFmt numFmtId="170" formatCode="&quot;$&quot;#,##0.00"/>
    </dxf>
    <dxf>
      <numFmt numFmtId="170" formatCode="&quot;$&quot;#,##0.00"/>
    </dxf>
    <dxf>
      <numFmt numFmtId="173" formatCode="0.0"/>
    </dxf>
    <dxf>
      <numFmt numFmtId="2" formatCode="0.00"/>
    </dxf>
    <dxf>
      <numFmt numFmtId="170" formatCode="&quot;$&quot;#,##0.00"/>
    </dxf>
    <dxf>
      <numFmt numFmtId="170" formatCode="&quot;$&quot;#,##0.00"/>
    </dxf>
    <dxf>
      <numFmt numFmtId="170" formatCode="&quot;$&quot;#,##0.00"/>
    </dxf>
    <dxf>
      <numFmt numFmtId="170" formatCode="&quot;$&quot;#,##0.00"/>
    </dxf>
    <dxf>
      <numFmt numFmtId="2" formatCode="0.00"/>
    </dxf>
    <dxf>
      <numFmt numFmtId="168" formatCode="[$₦-466]\ #,##0"/>
    </dxf>
    <dxf>
      <numFmt numFmtId="170" formatCode="&quot;$&quot;#,##0.00"/>
    </dxf>
    <dxf>
      <numFmt numFmtId="170" formatCode="&quot;$&quot;#,##0.00"/>
    </dxf>
    <dxf>
      <numFmt numFmtId="170" formatCode="&quot;$&quot;#,##0.00"/>
    </dxf>
    <dxf>
      <numFmt numFmtId="170" formatCode="&quot;$&quot;#,##0.00"/>
    </dxf>
    <dxf>
      <numFmt numFmtId="168" formatCode="[$₦-466]\ #,##0"/>
    </dxf>
    <dxf>
      <numFmt numFmtId="170" formatCode="&quot;$&quot;#,##0.00"/>
    </dxf>
    <dxf>
      <numFmt numFmtId="170" formatCode="&quot;$&quot;#,##0.00"/>
    </dxf>
    <dxf>
      <numFmt numFmtId="170" formatCode="&quot;$&quot;#,##0.00"/>
    </dxf>
    <dxf>
      <numFmt numFmtId="170" formatCode="&quot;$&quot;#,##0.00"/>
    </dxf>
    <dxf>
      <numFmt numFmtId="168" formatCode="[$₦-466]\ #,##0"/>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3" formatCode="0%"/>
    </dxf>
    <dxf>
      <font>
        <b/>
        <family val="2"/>
      </font>
    </dxf>
    <dxf>
      <font>
        <b/>
        <family val="2"/>
      </font>
    </dxf>
    <dxf>
      <fill>
        <patternFill patternType="solid">
          <bgColor rgb="FFD8F3DC"/>
        </patternFill>
      </fill>
    </dxf>
    <dxf>
      <fill>
        <patternFill patternType="solid">
          <bgColor rgb="FFD8F3DC"/>
        </patternFill>
      </fill>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69" formatCode="[$₦-466]\ #,##0.00"/>
    </dxf>
    <dxf>
      <numFmt numFmtId="169" formatCode="[$₦-466]\ #,##0.00"/>
    </dxf>
    <dxf>
      <numFmt numFmtId="168" formatCode="[$₦-466]\ #,##0"/>
    </dxf>
    <dxf>
      <fill>
        <patternFill patternType="solid">
          <bgColor rgb="FFD8F3DC"/>
        </patternFill>
      </fill>
    </dxf>
    <dxf>
      <font>
        <b/>
        <family val="2"/>
      </font>
    </dxf>
    <dxf>
      <numFmt numFmtId="14" formatCode="0.00%"/>
    </dxf>
    <dxf>
      <numFmt numFmtId="13" formatCode="0%"/>
    </dxf>
    <dxf>
      <numFmt numFmtId="1" formatCode="0"/>
    </dxf>
    <dxf>
      <numFmt numFmtId="1" formatCode="0"/>
    </dxf>
    <dxf>
      <numFmt numFmtId="168" formatCode="[$₦-466]\ #,##0"/>
    </dxf>
    <dxf>
      <numFmt numFmtId="166" formatCode="_-[$₦-466]\ * #,##0_-;\-[$₦-466]\ * #,##0_-;_-[$₦-466]\ * &quot;-&quot;??_-;_-@_-"/>
    </dxf>
    <dxf>
      <numFmt numFmtId="170" formatCode="&quot;$&quot;#,##0.00"/>
    </dxf>
    <dxf>
      <numFmt numFmtId="170" formatCode="&quot;$&quot;#,##0.00"/>
    </dxf>
    <dxf>
      <numFmt numFmtId="170" formatCode="&quot;$&quot;#,##0.00"/>
    </dxf>
    <dxf>
      <numFmt numFmtId="170" formatCode="&quot;$&quot;#,##0.00"/>
    </dxf>
    <dxf>
      <numFmt numFmtId="168" formatCode="[$₦-466]\ #,##0"/>
    </dxf>
    <dxf>
      <numFmt numFmtId="170" formatCode="&quot;$&quot;#,##0.00"/>
    </dxf>
    <dxf>
      <numFmt numFmtId="170" formatCode="&quot;$&quot;#,##0.00"/>
    </dxf>
    <dxf>
      <numFmt numFmtId="170" formatCode="&quot;$&quot;#,##0.00"/>
    </dxf>
    <dxf>
      <numFmt numFmtId="170" formatCode="&quot;$&quot;#,##0.00"/>
    </dxf>
    <dxf>
      <numFmt numFmtId="168" formatCode="[$₦-466]\ #,##0"/>
    </dxf>
    <dxf>
      <numFmt numFmtId="170" formatCode="&quot;$&quot;#,##0.00"/>
    </dxf>
    <dxf>
      <numFmt numFmtId="170" formatCode="&quot;$&quot;#,##0.00"/>
    </dxf>
    <dxf>
      <numFmt numFmtId="170" formatCode="&quot;$&quot;#,##0.00"/>
    </dxf>
    <dxf>
      <numFmt numFmtId="170" formatCode="&quot;$&quot;#,##0.00"/>
    </dxf>
    <dxf>
      <numFmt numFmtId="168" formatCode="[$₦-466]\ #,##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68" formatCode="[$₦-466]\ #,##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3" formatCode="0%"/>
    </dxf>
    <dxf>
      <numFmt numFmtId="13" formatCode="0%"/>
    </dxf>
    <dxf>
      <numFmt numFmtId="170" formatCode="&quot;$&quot;#,##0.00"/>
    </dxf>
    <dxf>
      <numFmt numFmtId="170" formatCode="&quot;$&quot;#,##0.00"/>
    </dxf>
    <dxf>
      <numFmt numFmtId="170" formatCode="&quot;$&quot;#,##0.00"/>
    </dxf>
    <dxf>
      <numFmt numFmtId="170" formatCode="&quot;$&quot;#,##0.00"/>
    </dxf>
    <dxf>
      <numFmt numFmtId="170" formatCode="&quot;$&quot;#,##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169" formatCode="[$₦-466]\ #,##0.00"/>
    </dxf>
    <dxf>
      <numFmt numFmtId="169" formatCode="[$₦-466]\ #,##0.00"/>
    </dxf>
    <dxf>
      <numFmt numFmtId="168" formatCode="[$₦-466]\ #,##0"/>
    </dxf>
    <dxf>
      <fill>
        <patternFill patternType="solid">
          <bgColor rgb="FFD8F3DC"/>
        </patternFill>
      </fill>
    </dxf>
    <dxf>
      <font>
        <b/>
        <family val="2"/>
      </font>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 formatCode="0"/>
    </dxf>
    <dxf>
      <numFmt numFmtId="1" formatCode="0"/>
    </dxf>
    <dxf>
      <fill>
        <patternFill patternType="solid">
          <bgColor rgb="FFD8F3DC"/>
        </patternFill>
      </fill>
    </dxf>
    <dxf>
      <font>
        <b/>
        <family val="2"/>
      </font>
    </dxf>
    <dxf>
      <numFmt numFmtId="1" formatCode="0"/>
    </dxf>
    <dxf>
      <numFmt numFmtId="1" formatCode="0"/>
    </dxf>
    <dxf>
      <numFmt numFmtId="1" formatCode="0"/>
    </dxf>
    <dxf>
      <numFmt numFmtId="1" formatCode="0"/>
    </dxf>
    <dxf>
      <numFmt numFmtId="166" formatCode="_-[$₦-466]\ * #,##0_-;\-[$₦-466]\ * #,##0_-;_-[$₦-466]\ * &quot;-&quot;??_-;_-@_-"/>
    </dxf>
    <dxf>
      <numFmt numFmtId="168" formatCode="[$₦-466]\ #,##0"/>
    </dxf>
    <dxf>
      <numFmt numFmtId="13" formatCode="0%"/>
    </dxf>
    <dxf>
      <font>
        <b/>
        <family val="2"/>
      </font>
    </dxf>
    <dxf>
      <font>
        <b/>
        <family val="2"/>
      </font>
    </dxf>
    <dxf>
      <fill>
        <patternFill patternType="solid">
          <bgColor rgb="FFD8F3DC"/>
        </patternFill>
      </fill>
    </dxf>
    <dxf>
      <fill>
        <patternFill patternType="solid">
          <bgColor rgb="FFD8F3DC"/>
        </patternFill>
      </fill>
    </dxf>
    <dxf>
      <numFmt numFmtId="14" formatCode="0.00%"/>
    </dxf>
    <dxf>
      <numFmt numFmtId="13" formatCode="0%"/>
    </dxf>
    <dxf>
      <numFmt numFmtId="13" formatCode="0%"/>
    </dxf>
    <dxf>
      <numFmt numFmtId="14" formatCode="0.00%"/>
    </dxf>
    <dxf>
      <numFmt numFmtId="13" formatCode="0%"/>
    </dxf>
    <dxf>
      <numFmt numFmtId="166" formatCode="_-[$₦-466]\ * #,##0_-;\-[$₦-466]\ * #,##0_-;_-[$₦-466]\ * &quot;-&quot;??_-;_-@_-"/>
    </dxf>
    <dxf>
      <numFmt numFmtId="168" formatCode="[$₦-466]\ #,##0"/>
    </dxf>
    <dxf>
      <numFmt numFmtId="1" formatCode="0"/>
    </dxf>
    <dxf>
      <numFmt numFmtId="1" formatCode="0"/>
    </dxf>
    <dxf>
      <numFmt numFmtId="13" formatCode="0%"/>
    </dxf>
    <dxf>
      <numFmt numFmtId="14" formatCode="0.00%"/>
    </dxf>
    <dxf>
      <font>
        <b/>
        <family val="2"/>
      </font>
    </dxf>
    <dxf>
      <fill>
        <patternFill patternType="solid">
          <bgColor rgb="FFD8F3DC"/>
        </patternFill>
      </fill>
    </dxf>
    <dxf>
      <numFmt numFmtId="168" formatCode="[$₦-466]\ #,##0"/>
    </dxf>
    <dxf>
      <numFmt numFmtId="169" formatCode="[$₦-466]\ #,##0.00"/>
    </dxf>
    <dxf>
      <numFmt numFmtId="169" formatCode="[$₦-466]\ #,##0.00"/>
    </dxf>
    <dxf>
      <numFmt numFmtId="1" formatCode="0"/>
    </dxf>
    <dxf>
      <font>
        <b/>
        <family val="2"/>
      </font>
    </dxf>
    <dxf>
      <fill>
        <patternFill patternType="solid">
          <bgColor rgb="FFD8F3DC"/>
        </patternFill>
      </fill>
    </dxf>
    <dxf>
      <numFmt numFmtId="1" formatCode="0"/>
    </dxf>
    <dxf>
      <numFmt numFmtId="1" formatCode="0"/>
    </dxf>
    <dxf>
      <numFmt numFmtId="1" formatCode="0"/>
    </dxf>
    <dxf>
      <fill>
        <patternFill patternType="solid">
          <bgColor rgb="FFD8F3DC"/>
        </patternFill>
      </fill>
    </dxf>
    <dxf>
      <fill>
        <patternFill patternType="solid">
          <bgColor rgb="FFD8F3DC"/>
        </patternFill>
      </fill>
    </dxf>
    <dxf>
      <font>
        <b/>
        <family val="2"/>
      </font>
    </dxf>
    <dxf>
      <font>
        <b/>
        <family val="2"/>
      </font>
    </dxf>
    <dxf>
      <numFmt numFmtId="13" formatCode="0%"/>
    </dxf>
    <dxf>
      <numFmt numFmtId="1" formatCode="0"/>
    </dxf>
    <dxf>
      <font>
        <b/>
        <family val="2"/>
      </font>
    </dxf>
    <dxf>
      <fill>
        <patternFill patternType="solid">
          <bgColor rgb="FFD8F3DC"/>
        </patternFill>
      </fill>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quot;₦&quot;#,##0"/>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5" formatCode="&quot;₦&quot;#,##0"/>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border outline="0">
        <left style="thin">
          <color rgb="FF5B3F86"/>
        </left>
        <right style="thin">
          <color rgb="FF5B3F86"/>
        </right>
        <top style="thin">
          <color rgb="FF5B3F86"/>
        </top>
      </border>
    </dxf>
    <dxf>
      <font>
        <b val="0"/>
        <i val="0"/>
        <strike val="0"/>
        <condense val="0"/>
        <extend val="0"/>
        <outline val="0"/>
        <shadow val="0"/>
        <u val="none"/>
        <vertAlign val="baseline"/>
        <sz val="10"/>
        <color theme="1"/>
        <name val="Arial"/>
        <scheme val="minor"/>
      </font>
      <fill>
        <patternFill patternType="solid">
          <fgColor rgb="FFFFFFFF"/>
          <bgColor rgb="FFFFFFFF"/>
        </patternFill>
      </fill>
      <alignment horizontal="general" vertical="center" textRotation="0" wrapText="0" indent="0" justifyLastLine="0" shrinkToFit="0" readingOrder="0"/>
    </dxf>
    <dxf>
      <font>
        <b/>
        <i val="0"/>
        <strike val="0"/>
        <condense val="0"/>
        <extend val="0"/>
        <outline val="0"/>
        <shadow val="0"/>
        <u val="none"/>
        <vertAlign val="baseline"/>
        <sz val="10"/>
        <color theme="1"/>
        <name val="Arial"/>
        <family val="2"/>
        <scheme val="minor"/>
      </font>
      <fill>
        <patternFill patternType="solid">
          <fgColor rgb="FF5B3F86"/>
          <bgColor rgb="FF92D050"/>
        </patternFill>
      </fill>
      <alignment horizontal="left" vertical="center" textRotation="0" wrapText="0" indent="0" justifyLastLine="0" shrinkToFit="0" readingOrder="0"/>
    </dxf>
    <dxf>
      <font>
        <b/>
        <i val="0"/>
        <sz val="10"/>
        <name val="Segoe UI"/>
        <family val="2"/>
        <scheme val="none"/>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1-style" pivot="0" count="4" xr9:uid="{00000000-0011-0000-FFFF-FFFF00000000}">
      <tableStyleElement type="wholeTable" size="0" dxfId="311"/>
      <tableStyleElement type="headerRow" dxfId="310"/>
      <tableStyleElement type="firstRowStripe" dxfId="309"/>
      <tableStyleElement type="secondRowStripe" dxfId="308"/>
    </tableStyle>
    <tableStyle name="Slicer Style 1" pivot="0" table="0" count="1" xr9:uid="{EA1813C1-B239-4941-AEE9-F157AC7E107A}">
      <tableStyleElement type="wholeTable" dxfId="307"/>
    </tableStyle>
  </tableStyles>
  <colors>
    <mruColors>
      <color rgb="FF2D6A4F"/>
      <color rgb="FF74C69D"/>
      <color rgb="FF1B4332"/>
      <color rgb="FFD8F3DC"/>
      <color rgb="FF081C15"/>
      <color rgb="FFDAD7CD"/>
      <color rgb="FFB7E4C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B2-4199-A167-E0323DC74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B2-4199-A167-E0323DC74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A91-46C3-B1C4-D83B8DE56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B2-4199-A167-E0323DC747B9}"/>
              </c:ext>
            </c:extLst>
          </c:dPt>
          <c:cat>
            <c:strRef>
              <c:f>Analysis!$D$6:$D$10</c:f>
              <c:strCache>
                <c:ptCount val="4"/>
                <c:pt idx="0">
                  <c:v>Card</c:v>
                </c:pt>
                <c:pt idx="1">
                  <c:v>Cash</c:v>
                </c:pt>
                <c:pt idx="2">
                  <c:v>Transfer</c:v>
                </c:pt>
                <c:pt idx="3">
                  <c:v>Wallet</c:v>
                </c:pt>
              </c:strCache>
            </c:strRef>
          </c:cat>
          <c:val>
            <c:numRef>
              <c:f>Analysis!$E$6:$E$10</c:f>
              <c:numCache>
                <c:formatCode>0%</c:formatCode>
                <c:ptCount val="4"/>
                <c:pt idx="0">
                  <c:v>0.12149532710280374</c:v>
                </c:pt>
                <c:pt idx="1">
                  <c:v>4.6728971962616821E-2</c:v>
                </c:pt>
                <c:pt idx="2">
                  <c:v>0.81308411214953269</c:v>
                </c:pt>
                <c:pt idx="3">
                  <c:v>1.8691588785046728E-2</c:v>
                </c:pt>
              </c:numCache>
            </c:numRef>
          </c:val>
          <c:extLst>
            <c:ext xmlns:c16="http://schemas.microsoft.com/office/drawing/2014/chart" uri="{C3380CC4-5D6E-409C-BE32-E72D297353CC}">
              <c16:uniqueId val="{00000000-FA91-46C3-B1C4-D83B8DE568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Average Spend by Platform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Analysis!$G$23:$G$27</c:f>
              <c:strCache>
                <c:ptCount val="5"/>
                <c:pt idx="0">
                  <c:v>Jumia</c:v>
                </c:pt>
                <c:pt idx="1">
                  <c:v>Others</c:v>
                </c:pt>
                <c:pt idx="2">
                  <c:v>Instagram</c:v>
                </c:pt>
                <c:pt idx="3">
                  <c:v>Physical Store</c:v>
                </c:pt>
                <c:pt idx="4">
                  <c:v>WhatsApp</c:v>
                </c:pt>
              </c:strCache>
            </c:strRef>
          </c:cat>
          <c:val>
            <c:numRef>
              <c:f>Analysis!$H$23:$H$27</c:f>
              <c:numCache>
                <c:formatCode>_-[$₦-466]\ * #,##0_-;\-[$₦-466]\ * #,##0_-;_-[$₦-466]\ * "-"??_-;_-@_-</c:formatCode>
                <c:ptCount val="5"/>
                <c:pt idx="0">
                  <c:v>110909.09090909091</c:v>
                </c:pt>
                <c:pt idx="1">
                  <c:v>112500</c:v>
                </c:pt>
                <c:pt idx="2">
                  <c:v>125000</c:v>
                </c:pt>
                <c:pt idx="3">
                  <c:v>128757.14285714286</c:v>
                </c:pt>
                <c:pt idx="4">
                  <c:v>133928.57142857142</c:v>
                </c:pt>
              </c:numCache>
            </c:numRef>
          </c:val>
          <c:extLst>
            <c:ext xmlns:c16="http://schemas.microsoft.com/office/drawing/2014/chart" uri="{C3380CC4-5D6E-409C-BE32-E72D297353CC}">
              <c16:uniqueId val="{00000000-1C2E-4778-81BB-9D5619AEAEDE}"/>
            </c:ext>
          </c:extLst>
        </c:ser>
        <c:dLbls>
          <c:dLblPos val="outEnd"/>
          <c:showLegendKey val="0"/>
          <c:showVal val="1"/>
          <c:showCatName val="0"/>
          <c:showSerName val="0"/>
          <c:showPercent val="0"/>
          <c:showBubbleSize val="0"/>
        </c:dLbls>
        <c:gapWidth val="182"/>
        <c:axId val="776051680"/>
        <c:axId val="776049184"/>
      </c:barChart>
      <c:catAx>
        <c:axId val="77605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76049184"/>
        <c:crosses val="autoZero"/>
        <c:auto val="1"/>
        <c:lblAlgn val="ctr"/>
        <c:lblOffset val="100"/>
        <c:noMultiLvlLbl val="0"/>
      </c:catAx>
      <c:valAx>
        <c:axId val="776049184"/>
        <c:scaling>
          <c:orientation val="minMax"/>
        </c:scaling>
        <c:delete val="1"/>
        <c:axPos val="b"/>
        <c:numFmt formatCode="_-[$₦-466]\ * #,##0_-;\-[$₦-466]\ * #,##0_-;_-[$₦-466]\ * &quot;-&quot;??_-;_-@_-" sourceLinked="1"/>
        <c:majorTickMark val="none"/>
        <c:minorTickMark val="none"/>
        <c:tickLblPos val="nextTo"/>
        <c:crossAx val="7760516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(Analysis).xlsx]Analysis!PivotTable5</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Analysis!$K$4:$K$5</c:f>
              <c:strCache>
                <c:ptCount val="1"/>
                <c:pt idx="0">
                  <c:v>Female</c:v>
                </c:pt>
              </c:strCache>
            </c:strRef>
          </c:tx>
          <c:spPr>
            <a:solidFill>
              <a:schemeClr val="accent1"/>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Analysis!$K$6:$K$10</c:f>
              <c:numCache>
                <c:formatCode>0</c:formatCode>
                <c:ptCount val="5"/>
                <c:pt idx="0">
                  <c:v>2</c:v>
                </c:pt>
                <c:pt idx="1">
                  <c:v>8</c:v>
                </c:pt>
                <c:pt idx="2">
                  <c:v>8</c:v>
                </c:pt>
                <c:pt idx="3">
                  <c:v>4</c:v>
                </c:pt>
                <c:pt idx="4">
                  <c:v>21</c:v>
                </c:pt>
              </c:numCache>
            </c:numRef>
          </c:val>
          <c:extLst>
            <c:ext xmlns:c16="http://schemas.microsoft.com/office/drawing/2014/chart" uri="{C3380CC4-5D6E-409C-BE32-E72D297353CC}">
              <c16:uniqueId val="{00000000-5185-4A48-A898-36D1040AB815}"/>
            </c:ext>
          </c:extLst>
        </c:ser>
        <c:ser>
          <c:idx val="1"/>
          <c:order val="1"/>
          <c:tx>
            <c:strRef>
              <c:f>Analysis!$L$4:$L$5</c:f>
              <c:strCache>
                <c:ptCount val="1"/>
                <c:pt idx="0">
                  <c:v>Male</c:v>
                </c:pt>
              </c:strCache>
            </c:strRef>
          </c:tx>
          <c:spPr>
            <a:solidFill>
              <a:schemeClr val="accent2"/>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Analysis!$L$6:$L$10</c:f>
              <c:numCache>
                <c:formatCode>0</c:formatCode>
                <c:ptCount val="5"/>
                <c:pt idx="0">
                  <c:v>3</c:v>
                </c:pt>
                <c:pt idx="1">
                  <c:v>1</c:v>
                </c:pt>
                <c:pt idx="2">
                  <c:v>6</c:v>
                </c:pt>
                <c:pt idx="3">
                  <c:v>17</c:v>
                </c:pt>
                <c:pt idx="4">
                  <c:v>37</c:v>
                </c:pt>
              </c:numCache>
            </c:numRef>
          </c:val>
          <c:extLst>
            <c:ext xmlns:c16="http://schemas.microsoft.com/office/drawing/2014/chart" uri="{C3380CC4-5D6E-409C-BE32-E72D297353CC}">
              <c16:uniqueId val="{00000004-58A3-432C-90F3-EFEF06025F51}"/>
            </c:ext>
          </c:extLst>
        </c:ser>
        <c:dLbls>
          <c:showLegendKey val="0"/>
          <c:showVal val="0"/>
          <c:showCatName val="0"/>
          <c:showSerName val="0"/>
          <c:showPercent val="0"/>
          <c:showBubbleSize val="0"/>
        </c:dLbls>
        <c:gapWidth val="219"/>
        <c:overlap val="-27"/>
        <c:axId val="1773488576"/>
        <c:axId val="1773497728"/>
      </c:barChart>
      <c:catAx>
        <c:axId val="17734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97728"/>
        <c:crosses val="autoZero"/>
        <c:auto val="1"/>
        <c:lblAlgn val="ctr"/>
        <c:lblOffset val="100"/>
        <c:noMultiLvlLbl val="0"/>
      </c:catAx>
      <c:valAx>
        <c:axId val="1773497728"/>
        <c:scaling>
          <c:orientation val="minMax"/>
        </c:scaling>
        <c:delete val="1"/>
        <c:axPos val="l"/>
        <c:numFmt formatCode="0" sourceLinked="1"/>
        <c:majorTickMark val="none"/>
        <c:minorTickMark val="none"/>
        <c:tickLblPos val="nextTo"/>
        <c:crossAx val="17734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Gender</a:t>
            </a:r>
            <a:r>
              <a:rPr lang="en-US" sz="1000" baseline="0"/>
              <a:t> Distribution</a:t>
            </a:r>
            <a:endParaRPr lang="en-US" sz="1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Analysis!$E$22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3B-4899-AB4F-B35F5E15ED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3B-4899-AB4F-B35F5E15EDF9}"/>
              </c:ext>
            </c:extLst>
          </c:dPt>
          <c:cat>
            <c:strRef>
              <c:f>Analysis!$D$23:$D$25</c:f>
              <c:strCache>
                <c:ptCount val="2"/>
                <c:pt idx="0">
                  <c:v>Female</c:v>
                </c:pt>
                <c:pt idx="1">
                  <c:v>Male</c:v>
                </c:pt>
              </c:strCache>
            </c:strRef>
          </c:cat>
          <c:val>
            <c:numRef>
              <c:f>Analysis!$E$23:$E$25</c:f>
              <c:numCache>
                <c:formatCode>0%</c:formatCode>
                <c:ptCount val="2"/>
                <c:pt idx="0">
                  <c:v>0.40186915887850466</c:v>
                </c:pt>
                <c:pt idx="1">
                  <c:v>0.59813084112149528</c:v>
                </c:pt>
              </c:numCache>
            </c:numRef>
          </c:val>
          <c:extLst>
            <c:ext xmlns:c16="http://schemas.microsoft.com/office/drawing/2014/chart" uri="{C3380CC4-5D6E-409C-BE32-E72D297353CC}">
              <c16:uniqueId val="{00000000-8F17-4298-ACD0-8958105E24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Analysis!$L$23</c:f>
              <c:strCache>
                <c:ptCount val="1"/>
                <c:pt idx="0">
                  <c:v>Total</c:v>
                </c:pt>
              </c:strCache>
            </c:strRef>
          </c:tx>
          <c:spPr>
            <a:solidFill>
              <a:schemeClr val="accent1"/>
            </a:solidFill>
            <a:ln>
              <a:noFill/>
            </a:ln>
            <a:effectLst/>
          </c:spPr>
          <c:invertIfNegative val="0"/>
          <c:cat>
            <c:strRef>
              <c:f>Analysis!$K$24:$K$27</c:f>
              <c:strCache>
                <c:ptCount val="3"/>
                <c:pt idx="0">
                  <c:v>36-45</c:v>
                </c:pt>
                <c:pt idx="1">
                  <c:v>18-25</c:v>
                </c:pt>
                <c:pt idx="2">
                  <c:v>26-35</c:v>
                </c:pt>
              </c:strCache>
            </c:strRef>
          </c:cat>
          <c:val>
            <c:numRef>
              <c:f>Analysis!$L$24:$L$27</c:f>
              <c:numCache>
                <c:formatCode>0</c:formatCode>
                <c:ptCount val="3"/>
                <c:pt idx="0">
                  <c:v>6</c:v>
                </c:pt>
                <c:pt idx="1">
                  <c:v>38</c:v>
                </c:pt>
                <c:pt idx="2">
                  <c:v>63</c:v>
                </c:pt>
              </c:numCache>
            </c:numRef>
          </c:val>
          <c:extLst>
            <c:ext xmlns:c16="http://schemas.microsoft.com/office/drawing/2014/chart" uri="{C3380CC4-5D6E-409C-BE32-E72D297353CC}">
              <c16:uniqueId val="{00000000-3990-48BC-BB97-BAD918617C89}"/>
            </c:ext>
          </c:extLst>
        </c:ser>
        <c:dLbls>
          <c:showLegendKey val="0"/>
          <c:showVal val="0"/>
          <c:showCatName val="0"/>
          <c:showSerName val="0"/>
          <c:showPercent val="0"/>
          <c:showBubbleSize val="0"/>
        </c:dLbls>
        <c:gapWidth val="219"/>
        <c:overlap val="-27"/>
        <c:axId val="1567134416"/>
        <c:axId val="1567134000"/>
      </c:barChart>
      <c:catAx>
        <c:axId val="156713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34000"/>
        <c:crosses val="autoZero"/>
        <c:auto val="1"/>
        <c:lblAlgn val="ctr"/>
        <c:lblOffset val="100"/>
        <c:noMultiLvlLbl val="0"/>
      </c:catAx>
      <c:valAx>
        <c:axId val="1567134000"/>
        <c:scaling>
          <c:orientation val="minMax"/>
        </c:scaling>
        <c:delete val="1"/>
        <c:axPos val="l"/>
        <c:numFmt formatCode="0" sourceLinked="1"/>
        <c:majorTickMark val="none"/>
        <c:minorTickMark val="none"/>
        <c:tickLblPos val="nextTo"/>
        <c:crossAx val="156713441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vs Age Range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Analysis!$O$3:$O$4</c:f>
              <c:strCache>
                <c:ptCount val="1"/>
                <c:pt idx="0">
                  <c:v>18-25</c:v>
                </c:pt>
              </c:strCache>
            </c:strRef>
          </c:tx>
          <c:spPr>
            <a:solidFill>
              <a:schemeClr val="accent1"/>
            </a:solidFill>
            <a:ln>
              <a:noFill/>
            </a:ln>
            <a:effectLst/>
          </c:spPr>
          <c:invertIfNegative val="0"/>
          <c:cat>
            <c:strRef>
              <c:f>Analysis!$N$5:$N$10</c:f>
              <c:strCache>
                <c:ptCount val="5"/>
                <c:pt idx="0">
                  <c:v>Beauty</c:v>
                </c:pt>
                <c:pt idx="1">
                  <c:v>Electronics</c:v>
                </c:pt>
                <c:pt idx="2">
                  <c:v>Fashion</c:v>
                </c:pt>
                <c:pt idx="3">
                  <c:v>Food</c:v>
                </c:pt>
                <c:pt idx="4">
                  <c:v>Groceries</c:v>
                </c:pt>
              </c:strCache>
            </c:strRef>
          </c:cat>
          <c:val>
            <c:numRef>
              <c:f>Analysis!$O$5:$O$10</c:f>
              <c:numCache>
                <c:formatCode>0</c:formatCode>
                <c:ptCount val="5"/>
                <c:pt idx="0">
                  <c:v>4</c:v>
                </c:pt>
                <c:pt idx="1">
                  <c:v>2</c:v>
                </c:pt>
                <c:pt idx="2">
                  <c:v>5</c:v>
                </c:pt>
                <c:pt idx="3">
                  <c:v>21</c:v>
                </c:pt>
                <c:pt idx="4">
                  <c:v>6</c:v>
                </c:pt>
              </c:numCache>
            </c:numRef>
          </c:val>
          <c:extLst>
            <c:ext xmlns:c16="http://schemas.microsoft.com/office/drawing/2014/chart" uri="{C3380CC4-5D6E-409C-BE32-E72D297353CC}">
              <c16:uniqueId val="{00000000-0F0C-4DE5-B9A2-50B185BD260F}"/>
            </c:ext>
          </c:extLst>
        </c:ser>
        <c:ser>
          <c:idx val="1"/>
          <c:order val="1"/>
          <c:tx>
            <c:strRef>
              <c:f>Analysis!$P$3:$P$4</c:f>
              <c:strCache>
                <c:ptCount val="1"/>
                <c:pt idx="0">
                  <c:v>26-35</c:v>
                </c:pt>
              </c:strCache>
            </c:strRef>
          </c:tx>
          <c:spPr>
            <a:solidFill>
              <a:schemeClr val="accent2"/>
            </a:solidFill>
            <a:ln>
              <a:noFill/>
            </a:ln>
            <a:effectLst/>
          </c:spPr>
          <c:invertIfNegative val="0"/>
          <c:cat>
            <c:strRef>
              <c:f>Analysis!$N$5:$N$10</c:f>
              <c:strCache>
                <c:ptCount val="5"/>
                <c:pt idx="0">
                  <c:v>Beauty</c:v>
                </c:pt>
                <c:pt idx="1">
                  <c:v>Electronics</c:v>
                </c:pt>
                <c:pt idx="2">
                  <c:v>Fashion</c:v>
                </c:pt>
                <c:pt idx="3">
                  <c:v>Food</c:v>
                </c:pt>
                <c:pt idx="4">
                  <c:v>Groceries</c:v>
                </c:pt>
              </c:strCache>
            </c:strRef>
          </c:cat>
          <c:val>
            <c:numRef>
              <c:f>Analysis!$P$5:$P$10</c:f>
              <c:numCache>
                <c:formatCode>0</c:formatCode>
                <c:ptCount val="5"/>
                <c:pt idx="0">
                  <c:v>5</c:v>
                </c:pt>
                <c:pt idx="1">
                  <c:v>3</c:v>
                </c:pt>
                <c:pt idx="2">
                  <c:v>7</c:v>
                </c:pt>
                <c:pt idx="3">
                  <c:v>35</c:v>
                </c:pt>
                <c:pt idx="4">
                  <c:v>13</c:v>
                </c:pt>
              </c:numCache>
            </c:numRef>
          </c:val>
          <c:extLst>
            <c:ext xmlns:c16="http://schemas.microsoft.com/office/drawing/2014/chart" uri="{C3380CC4-5D6E-409C-BE32-E72D297353CC}">
              <c16:uniqueId val="{00000006-2A9D-4A38-9D5F-1ACA75E0C3C4}"/>
            </c:ext>
          </c:extLst>
        </c:ser>
        <c:ser>
          <c:idx val="2"/>
          <c:order val="2"/>
          <c:tx>
            <c:strRef>
              <c:f>Analysis!$Q$3:$Q$4</c:f>
              <c:strCache>
                <c:ptCount val="1"/>
                <c:pt idx="0">
                  <c:v>36-45</c:v>
                </c:pt>
              </c:strCache>
            </c:strRef>
          </c:tx>
          <c:spPr>
            <a:solidFill>
              <a:schemeClr val="accent3"/>
            </a:solidFill>
            <a:ln>
              <a:noFill/>
            </a:ln>
            <a:effectLst/>
          </c:spPr>
          <c:invertIfNegative val="0"/>
          <c:cat>
            <c:strRef>
              <c:f>Analysis!$N$5:$N$10</c:f>
              <c:strCache>
                <c:ptCount val="5"/>
                <c:pt idx="0">
                  <c:v>Beauty</c:v>
                </c:pt>
                <c:pt idx="1">
                  <c:v>Electronics</c:v>
                </c:pt>
                <c:pt idx="2">
                  <c:v>Fashion</c:v>
                </c:pt>
                <c:pt idx="3">
                  <c:v>Food</c:v>
                </c:pt>
                <c:pt idx="4">
                  <c:v>Groceries</c:v>
                </c:pt>
              </c:strCache>
            </c:strRef>
          </c:cat>
          <c:val>
            <c:numRef>
              <c:f>Analysis!$Q$5:$Q$10</c:f>
              <c:numCache>
                <c:formatCode>0</c:formatCode>
                <c:ptCount val="5"/>
                <c:pt idx="2">
                  <c:v>2</c:v>
                </c:pt>
                <c:pt idx="3">
                  <c:v>2</c:v>
                </c:pt>
                <c:pt idx="4">
                  <c:v>2</c:v>
                </c:pt>
              </c:numCache>
            </c:numRef>
          </c:val>
          <c:extLst>
            <c:ext xmlns:c16="http://schemas.microsoft.com/office/drawing/2014/chart" uri="{C3380CC4-5D6E-409C-BE32-E72D297353CC}">
              <c16:uniqueId val="{00000009-2A9D-4A38-9D5F-1ACA75E0C3C4}"/>
            </c:ext>
          </c:extLst>
        </c:ser>
        <c:dLbls>
          <c:showLegendKey val="0"/>
          <c:showVal val="0"/>
          <c:showCatName val="0"/>
          <c:showSerName val="0"/>
          <c:showPercent val="0"/>
          <c:showBubbleSize val="0"/>
        </c:dLbls>
        <c:gapWidth val="219"/>
        <c:overlap val="-27"/>
        <c:axId val="1522301024"/>
        <c:axId val="1522298944"/>
      </c:barChart>
      <c:catAx>
        <c:axId val="152230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98944"/>
        <c:crosses val="autoZero"/>
        <c:auto val="1"/>
        <c:lblAlgn val="ctr"/>
        <c:lblOffset val="100"/>
        <c:noMultiLvlLbl val="0"/>
      </c:catAx>
      <c:valAx>
        <c:axId val="1522298944"/>
        <c:scaling>
          <c:orientation val="minMax"/>
        </c:scaling>
        <c:delete val="1"/>
        <c:axPos val="l"/>
        <c:numFmt formatCode="0" sourceLinked="1"/>
        <c:majorTickMark val="none"/>
        <c:minorTickMark val="none"/>
        <c:tickLblPos val="nextTo"/>
        <c:crossAx val="152230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(Analysis).xlsx]Analysis!PivotTable9</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Analysis!$U$3:$U$4</c:f>
              <c:strCache>
                <c:ptCount val="1"/>
                <c:pt idx="0">
                  <c:v>Card</c:v>
                </c:pt>
              </c:strCache>
            </c:strRef>
          </c:tx>
          <c:spPr>
            <a:solidFill>
              <a:schemeClr val="accent1"/>
            </a:solidFill>
            <a:ln>
              <a:noFill/>
            </a:ln>
            <a:effectLst/>
          </c:spPr>
          <c:invertIfNegative val="0"/>
          <c:cat>
            <c:strRef>
              <c:f>Analysis!$T$5:$T$7</c:f>
              <c:strCache>
                <c:ptCount val="3"/>
                <c:pt idx="0">
                  <c:v>Low</c:v>
                </c:pt>
                <c:pt idx="1">
                  <c:v>Medium</c:v>
                </c:pt>
                <c:pt idx="2">
                  <c:v>High</c:v>
                </c:pt>
              </c:strCache>
            </c:strRef>
          </c:cat>
          <c:val>
            <c:numRef>
              <c:f>Analysis!$U$5:$U$7</c:f>
              <c:numCache>
                <c:formatCode>0</c:formatCode>
                <c:ptCount val="3"/>
                <c:pt idx="0">
                  <c:v>1</c:v>
                </c:pt>
                <c:pt idx="1">
                  <c:v>4</c:v>
                </c:pt>
                <c:pt idx="2">
                  <c:v>8</c:v>
                </c:pt>
              </c:numCache>
            </c:numRef>
          </c:val>
          <c:extLst>
            <c:ext xmlns:c16="http://schemas.microsoft.com/office/drawing/2014/chart" uri="{C3380CC4-5D6E-409C-BE32-E72D297353CC}">
              <c16:uniqueId val="{00000000-4A31-4E15-8362-BCD31502386F}"/>
            </c:ext>
          </c:extLst>
        </c:ser>
        <c:ser>
          <c:idx val="1"/>
          <c:order val="1"/>
          <c:tx>
            <c:strRef>
              <c:f>Analysis!$V$3:$V$4</c:f>
              <c:strCache>
                <c:ptCount val="1"/>
                <c:pt idx="0">
                  <c:v>Cash</c:v>
                </c:pt>
              </c:strCache>
            </c:strRef>
          </c:tx>
          <c:spPr>
            <a:solidFill>
              <a:schemeClr val="accent2"/>
            </a:solidFill>
            <a:ln>
              <a:noFill/>
            </a:ln>
            <a:effectLst/>
          </c:spPr>
          <c:invertIfNegative val="0"/>
          <c:cat>
            <c:strRef>
              <c:f>Analysis!$T$5:$T$7</c:f>
              <c:strCache>
                <c:ptCount val="3"/>
                <c:pt idx="0">
                  <c:v>Low</c:v>
                </c:pt>
                <c:pt idx="1">
                  <c:v>Medium</c:v>
                </c:pt>
                <c:pt idx="2">
                  <c:v>High</c:v>
                </c:pt>
              </c:strCache>
            </c:strRef>
          </c:cat>
          <c:val>
            <c:numRef>
              <c:f>Analysis!$V$5:$V$7</c:f>
              <c:numCache>
                <c:formatCode>0</c:formatCode>
                <c:ptCount val="3"/>
                <c:pt idx="0">
                  <c:v>1</c:v>
                </c:pt>
                <c:pt idx="1">
                  <c:v>1</c:v>
                </c:pt>
                <c:pt idx="2">
                  <c:v>3</c:v>
                </c:pt>
              </c:numCache>
            </c:numRef>
          </c:val>
          <c:extLst>
            <c:ext xmlns:c16="http://schemas.microsoft.com/office/drawing/2014/chart" uri="{C3380CC4-5D6E-409C-BE32-E72D297353CC}">
              <c16:uniqueId val="{00000001-4A31-4E15-8362-BCD31502386F}"/>
            </c:ext>
          </c:extLst>
        </c:ser>
        <c:ser>
          <c:idx val="2"/>
          <c:order val="2"/>
          <c:tx>
            <c:strRef>
              <c:f>Analysis!$W$3:$W$4</c:f>
              <c:strCache>
                <c:ptCount val="1"/>
                <c:pt idx="0">
                  <c:v>Transfer</c:v>
                </c:pt>
              </c:strCache>
            </c:strRef>
          </c:tx>
          <c:spPr>
            <a:solidFill>
              <a:schemeClr val="accent3"/>
            </a:solidFill>
            <a:ln>
              <a:noFill/>
            </a:ln>
            <a:effectLst/>
          </c:spPr>
          <c:invertIfNegative val="0"/>
          <c:cat>
            <c:strRef>
              <c:f>Analysis!$T$5:$T$7</c:f>
              <c:strCache>
                <c:ptCount val="3"/>
                <c:pt idx="0">
                  <c:v>Low</c:v>
                </c:pt>
                <c:pt idx="1">
                  <c:v>Medium</c:v>
                </c:pt>
                <c:pt idx="2">
                  <c:v>High</c:v>
                </c:pt>
              </c:strCache>
            </c:strRef>
          </c:cat>
          <c:val>
            <c:numRef>
              <c:f>Analysis!$W$5:$W$7</c:f>
              <c:numCache>
                <c:formatCode>0</c:formatCode>
                <c:ptCount val="3"/>
                <c:pt idx="0">
                  <c:v>5</c:v>
                </c:pt>
                <c:pt idx="1">
                  <c:v>26</c:v>
                </c:pt>
                <c:pt idx="2">
                  <c:v>56</c:v>
                </c:pt>
              </c:numCache>
            </c:numRef>
          </c:val>
          <c:extLst>
            <c:ext xmlns:c16="http://schemas.microsoft.com/office/drawing/2014/chart" uri="{C3380CC4-5D6E-409C-BE32-E72D297353CC}">
              <c16:uniqueId val="{0000000D-AFE4-4E1F-B792-7A4B29BF83FC}"/>
            </c:ext>
          </c:extLst>
        </c:ser>
        <c:ser>
          <c:idx val="3"/>
          <c:order val="3"/>
          <c:tx>
            <c:strRef>
              <c:f>Analysis!$X$3:$X$4</c:f>
              <c:strCache>
                <c:ptCount val="1"/>
                <c:pt idx="0">
                  <c:v>Wallet</c:v>
                </c:pt>
              </c:strCache>
            </c:strRef>
          </c:tx>
          <c:spPr>
            <a:solidFill>
              <a:schemeClr val="accent4"/>
            </a:solidFill>
            <a:ln>
              <a:noFill/>
            </a:ln>
            <a:effectLst/>
          </c:spPr>
          <c:invertIfNegative val="0"/>
          <c:cat>
            <c:strRef>
              <c:f>Analysis!$T$5:$T$7</c:f>
              <c:strCache>
                <c:ptCount val="3"/>
                <c:pt idx="0">
                  <c:v>Low</c:v>
                </c:pt>
                <c:pt idx="1">
                  <c:v>Medium</c:v>
                </c:pt>
                <c:pt idx="2">
                  <c:v>High</c:v>
                </c:pt>
              </c:strCache>
            </c:strRef>
          </c:cat>
          <c:val>
            <c:numRef>
              <c:f>Analysis!$X$5:$X$7</c:f>
              <c:numCache>
                <c:formatCode>0</c:formatCode>
                <c:ptCount val="3"/>
                <c:pt idx="2">
                  <c:v>2</c:v>
                </c:pt>
              </c:numCache>
            </c:numRef>
          </c:val>
          <c:extLst>
            <c:ext xmlns:c16="http://schemas.microsoft.com/office/drawing/2014/chart" uri="{C3380CC4-5D6E-409C-BE32-E72D297353CC}">
              <c16:uniqueId val="{0000000F-AFE4-4E1F-B792-7A4B29BF83FC}"/>
            </c:ext>
          </c:extLst>
        </c:ser>
        <c:dLbls>
          <c:showLegendKey val="0"/>
          <c:showVal val="0"/>
          <c:showCatName val="0"/>
          <c:showSerName val="0"/>
          <c:showPercent val="0"/>
          <c:showBubbleSize val="0"/>
        </c:dLbls>
        <c:gapWidth val="219"/>
        <c:overlap val="-27"/>
        <c:axId val="1522298112"/>
        <c:axId val="1522302272"/>
      </c:barChart>
      <c:catAx>
        <c:axId val="152229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02272"/>
        <c:crosses val="autoZero"/>
        <c:auto val="1"/>
        <c:lblAlgn val="ctr"/>
        <c:lblOffset val="100"/>
        <c:noMultiLvlLbl val="0"/>
      </c:catAx>
      <c:valAx>
        <c:axId val="1522302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29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Analysis!$H$5</c:f>
              <c:strCache>
                <c:ptCount val="1"/>
                <c:pt idx="0">
                  <c:v>Total</c:v>
                </c:pt>
              </c:strCache>
            </c:strRef>
          </c:tx>
          <c:spPr>
            <a:ln w="28575" cap="rnd">
              <a:solidFill>
                <a:schemeClr val="accent1"/>
              </a:solidFill>
              <a:round/>
            </a:ln>
            <a:effectLst/>
          </c:spPr>
          <c:marker>
            <c:symbol val="none"/>
          </c:marker>
          <c:cat>
            <c:strRef>
              <c:f>Analysis!$G$6:$G$8</c:f>
              <c:strCache>
                <c:ptCount val="3"/>
                <c:pt idx="0">
                  <c:v>High</c:v>
                </c:pt>
                <c:pt idx="1">
                  <c:v>Medium</c:v>
                </c:pt>
                <c:pt idx="2">
                  <c:v>Low</c:v>
                </c:pt>
              </c:strCache>
            </c:strRef>
          </c:cat>
          <c:val>
            <c:numRef>
              <c:f>Analysis!$H$6:$H$8</c:f>
              <c:numCache>
                <c:formatCode>[$₦-466]\ #,##0</c:formatCode>
                <c:ptCount val="3"/>
                <c:pt idx="0">
                  <c:v>177753.62318840579</c:v>
                </c:pt>
                <c:pt idx="1">
                  <c:v>39193.548387096773</c:v>
                </c:pt>
                <c:pt idx="2">
                  <c:v>11142.857142857143</c:v>
                </c:pt>
              </c:numCache>
            </c:numRef>
          </c:val>
          <c:smooth val="0"/>
          <c:extLst>
            <c:ext xmlns:c16="http://schemas.microsoft.com/office/drawing/2014/chart" uri="{C3380CC4-5D6E-409C-BE32-E72D297353CC}">
              <c16:uniqueId val="{00000000-5861-408F-B23D-631E1F0A6295}"/>
            </c:ext>
          </c:extLst>
        </c:ser>
        <c:dLbls>
          <c:showLegendKey val="0"/>
          <c:showVal val="0"/>
          <c:showCatName val="0"/>
          <c:showSerName val="0"/>
          <c:showPercent val="0"/>
          <c:showBubbleSize val="0"/>
        </c:dLbls>
        <c:smooth val="0"/>
        <c:axId val="390499360"/>
        <c:axId val="390493952"/>
      </c:lineChart>
      <c:catAx>
        <c:axId val="39049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493952"/>
        <c:crosses val="autoZero"/>
        <c:auto val="1"/>
        <c:lblAlgn val="ctr"/>
        <c:lblOffset val="100"/>
        <c:noMultiLvlLbl val="0"/>
      </c:catAx>
      <c:valAx>
        <c:axId val="390493952"/>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49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Segoe UI" panose="020B0502040204020203" pitchFamily="34" charset="0"/>
                <a:cs typeface="Segoe UI" panose="020B0502040204020203" pitchFamily="34" charset="0"/>
              </a:rPr>
              <a:t>Buying Decision Influence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Analysis!$E$36</c:f>
              <c:strCache>
                <c:ptCount val="1"/>
                <c:pt idx="0">
                  <c:v>Total</c:v>
                </c:pt>
              </c:strCache>
            </c:strRef>
          </c:tx>
          <c:spPr>
            <a:solidFill>
              <a:srgbClr val="74C6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Analysis!$D$37:$D$41</c:f>
              <c:strCache>
                <c:ptCount val="5"/>
                <c:pt idx="0">
                  <c:v>Influencers</c:v>
                </c:pt>
                <c:pt idx="1">
                  <c:v>Ads</c:v>
                </c:pt>
                <c:pt idx="2">
                  <c:v>Friends</c:v>
                </c:pt>
                <c:pt idx="3">
                  <c:v>Discounts</c:v>
                </c:pt>
                <c:pt idx="4">
                  <c:v>Quality</c:v>
                </c:pt>
              </c:strCache>
            </c:strRef>
          </c:cat>
          <c:val>
            <c:numRef>
              <c:f>Analysis!$E$37:$E$41</c:f>
              <c:numCache>
                <c:formatCode>0</c:formatCode>
                <c:ptCount val="5"/>
                <c:pt idx="0">
                  <c:v>2</c:v>
                </c:pt>
                <c:pt idx="1">
                  <c:v>4</c:v>
                </c:pt>
                <c:pt idx="2">
                  <c:v>5</c:v>
                </c:pt>
                <c:pt idx="3">
                  <c:v>37</c:v>
                </c:pt>
                <c:pt idx="4">
                  <c:v>59</c:v>
                </c:pt>
              </c:numCache>
            </c:numRef>
          </c:val>
          <c:extLst>
            <c:ext xmlns:c16="http://schemas.microsoft.com/office/drawing/2014/chart" uri="{C3380CC4-5D6E-409C-BE32-E72D297353CC}">
              <c16:uniqueId val="{00000000-C475-40C3-BB1A-F15499062A33}"/>
            </c:ext>
          </c:extLst>
        </c:ser>
        <c:dLbls>
          <c:dLblPos val="outEnd"/>
          <c:showLegendKey val="0"/>
          <c:showVal val="1"/>
          <c:showCatName val="0"/>
          <c:showSerName val="0"/>
          <c:showPercent val="0"/>
          <c:showBubbleSize val="0"/>
        </c:dLbls>
        <c:gapWidth val="182"/>
        <c:axId val="1494837535"/>
        <c:axId val="1494836703"/>
      </c:barChart>
      <c:catAx>
        <c:axId val="149483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crossAx val="1494836703"/>
        <c:crosses val="autoZero"/>
        <c:auto val="1"/>
        <c:lblAlgn val="ctr"/>
        <c:lblOffset val="100"/>
        <c:noMultiLvlLbl val="0"/>
      </c:catAx>
      <c:valAx>
        <c:axId val="1494836703"/>
        <c:scaling>
          <c:orientation val="minMax"/>
        </c:scaling>
        <c:delete val="1"/>
        <c:axPos val="b"/>
        <c:numFmt formatCode="0" sourceLinked="1"/>
        <c:majorTickMark val="none"/>
        <c:minorTickMark val="none"/>
        <c:tickLblPos val="nextTo"/>
        <c:crossAx val="14948375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(Analysis).xlsx]Analysis!PivotTable2</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solidFill>
                  <a:schemeClr val="tx1"/>
                </a:solidFill>
                <a:latin typeface="Segoe UI" panose="020B0502040204020203" pitchFamily="34" charset="0"/>
                <a:cs typeface="Segoe UI" panose="020B0502040204020203" pitchFamily="34" charset="0"/>
              </a:rPr>
              <a:t>Average Spend by Platform</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Analysis!$H$22</c:f>
              <c:strCache>
                <c:ptCount val="1"/>
                <c:pt idx="0">
                  <c:v>Total</c:v>
                </c:pt>
              </c:strCache>
            </c:strRef>
          </c:tx>
          <c:spPr>
            <a:solidFill>
              <a:srgbClr val="74C6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Analysis!$G$23:$G$27</c:f>
              <c:strCache>
                <c:ptCount val="5"/>
                <c:pt idx="0">
                  <c:v>Jumia</c:v>
                </c:pt>
                <c:pt idx="1">
                  <c:v>Others</c:v>
                </c:pt>
                <c:pt idx="2">
                  <c:v>Instagram</c:v>
                </c:pt>
                <c:pt idx="3">
                  <c:v>Physical Store</c:v>
                </c:pt>
                <c:pt idx="4">
                  <c:v>WhatsApp</c:v>
                </c:pt>
              </c:strCache>
            </c:strRef>
          </c:cat>
          <c:val>
            <c:numRef>
              <c:f>Analysis!$H$23:$H$27</c:f>
              <c:numCache>
                <c:formatCode>_-[$₦-466]\ * #,##0_-;\-[$₦-466]\ * #,##0_-;_-[$₦-466]\ * "-"??_-;_-@_-</c:formatCode>
                <c:ptCount val="5"/>
                <c:pt idx="0">
                  <c:v>110909.09090909091</c:v>
                </c:pt>
                <c:pt idx="1">
                  <c:v>112500</c:v>
                </c:pt>
                <c:pt idx="2">
                  <c:v>125000</c:v>
                </c:pt>
                <c:pt idx="3">
                  <c:v>128757.14285714286</c:v>
                </c:pt>
                <c:pt idx="4">
                  <c:v>133928.57142857142</c:v>
                </c:pt>
              </c:numCache>
            </c:numRef>
          </c:val>
          <c:extLst>
            <c:ext xmlns:c16="http://schemas.microsoft.com/office/drawing/2014/chart" uri="{C3380CC4-5D6E-409C-BE32-E72D297353CC}">
              <c16:uniqueId val="{00000000-B817-4EF5-A928-7F021A459C4F}"/>
            </c:ext>
          </c:extLst>
        </c:ser>
        <c:dLbls>
          <c:dLblPos val="outEnd"/>
          <c:showLegendKey val="0"/>
          <c:showVal val="1"/>
          <c:showCatName val="0"/>
          <c:showSerName val="0"/>
          <c:showPercent val="0"/>
          <c:showBubbleSize val="0"/>
        </c:dLbls>
        <c:gapWidth val="182"/>
        <c:axId val="776051680"/>
        <c:axId val="776049184"/>
      </c:barChart>
      <c:catAx>
        <c:axId val="77605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crossAx val="776049184"/>
        <c:crosses val="autoZero"/>
        <c:auto val="1"/>
        <c:lblAlgn val="ctr"/>
        <c:lblOffset val="100"/>
        <c:noMultiLvlLbl val="0"/>
      </c:catAx>
      <c:valAx>
        <c:axId val="776049184"/>
        <c:scaling>
          <c:orientation val="minMax"/>
        </c:scaling>
        <c:delete val="1"/>
        <c:axPos val="b"/>
        <c:numFmt formatCode="_-[$₦-466]\ * #,##0_-;\-[$₦-466]\ * #,##0_-;_-[$₦-466]\ * &quot;-&quot;??_-;_-@_-" sourceLinked="1"/>
        <c:majorTickMark val="none"/>
        <c:minorTickMark val="none"/>
        <c:tickLblPos val="nextTo"/>
        <c:crossAx val="77605168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chemeClr val="tx1"/>
                </a:solidFill>
                <a:latin typeface="Segoe UI" panose="020B0502040204020203" pitchFamily="34" charset="0"/>
                <a:ea typeface="+mn-ea"/>
                <a:cs typeface="Segoe UI" panose="020B0502040204020203" pitchFamily="34" charset="0"/>
              </a:rPr>
              <a:t>Payment</a:t>
            </a:r>
            <a:r>
              <a:rPr lang="en-US" sz="1000">
                <a:solidFill>
                  <a:schemeClr val="tx1"/>
                </a:solidFill>
              </a:rPr>
              <a:t> </a:t>
            </a:r>
            <a:r>
              <a:rPr lang="en-US" sz="1000" b="1" i="0" u="none" strike="noStrike" kern="1200" spc="0" baseline="0">
                <a:solidFill>
                  <a:schemeClr val="tx1"/>
                </a:solidFill>
                <a:latin typeface="Segoe UI" panose="020B0502040204020203" pitchFamily="34" charset="0"/>
                <a:ea typeface="+mn-ea"/>
                <a:cs typeface="Segoe UI" panose="020B0502040204020203" pitchFamily="34" charset="0"/>
              </a:rPr>
              <a:t>Method</a:t>
            </a:r>
            <a:r>
              <a:rPr lang="en-US" sz="1000">
                <a:solidFill>
                  <a:schemeClr val="tx1"/>
                </a:solidFill>
              </a:rPr>
              <a:t> </a:t>
            </a:r>
            <a:r>
              <a:rPr lang="en-US" sz="1000" b="1" i="0" u="none" strike="noStrike" kern="1200" spc="0" baseline="0">
                <a:solidFill>
                  <a:schemeClr val="tx1"/>
                </a:solidFill>
                <a:latin typeface="Segoe UI" panose="020B0502040204020203" pitchFamily="34" charset="0"/>
                <a:ea typeface="+mn-ea"/>
                <a:cs typeface="Segoe UI" panose="020B0502040204020203" pitchFamily="34" charset="0"/>
              </a:rPr>
              <a:t>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w="19050">
            <a:solidFill>
              <a:schemeClr val="lt1"/>
            </a:solidFill>
          </a:ln>
          <a:effectLst/>
        </c:spPr>
        <c:dLbl>
          <c:idx val="0"/>
          <c:layout>
            <c:manualLayout>
              <c:x val="0.17804395051756233"/>
              <c:y val="-5.2238805970149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553149355578734"/>
              <c:y val="0.11940298507462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layout>
            <c:manualLayout>
              <c:x val="-0.13258592059818472"/>
              <c:y val="-7.4626865671641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B4332"/>
          </a:solidFill>
          <a:ln w="19050">
            <a:solidFill>
              <a:schemeClr val="lt1"/>
            </a:solidFill>
          </a:ln>
          <a:effectLst/>
        </c:spPr>
        <c:dLbl>
          <c:idx val="0"/>
          <c:layout>
            <c:manualLayout>
              <c:x val="-0.19698479631730306"/>
              <c:y val="-2.2388059701492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99188737771414"/>
          <c:y val="0.28432835820895525"/>
          <c:w val="0.33674242424242423"/>
          <c:h val="0.66343283582089552"/>
        </c:manualLayout>
      </c:layout>
      <c:doughnutChart>
        <c:varyColors val="1"/>
        <c:ser>
          <c:idx val="0"/>
          <c:order val="0"/>
          <c:tx>
            <c:strRef>
              <c:f>Analysis!$E$5</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1F24-40E0-B277-267A0376A33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F24-40E0-B277-267A0376A33A}"/>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1F24-40E0-B277-267A0376A33A}"/>
              </c:ext>
            </c:extLst>
          </c:dPt>
          <c:dPt>
            <c:idx val="3"/>
            <c:bubble3D val="0"/>
            <c:spPr>
              <a:solidFill>
                <a:srgbClr val="1B4332"/>
              </a:solidFill>
              <a:ln w="19050">
                <a:solidFill>
                  <a:schemeClr val="lt1"/>
                </a:solidFill>
              </a:ln>
              <a:effectLst/>
            </c:spPr>
            <c:extLst>
              <c:ext xmlns:c16="http://schemas.microsoft.com/office/drawing/2014/chart" uri="{C3380CC4-5D6E-409C-BE32-E72D297353CC}">
                <c16:uniqueId val="{00000007-1F24-40E0-B277-267A0376A33A}"/>
              </c:ext>
            </c:extLst>
          </c:dPt>
          <c:dLbls>
            <c:dLbl>
              <c:idx val="0"/>
              <c:layout>
                <c:manualLayout>
                  <c:x val="0.17804395051756233"/>
                  <c:y val="-5.22388059701492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24-40E0-B277-267A0376A33A}"/>
                </c:ext>
              </c:extLst>
            </c:dLbl>
            <c:dLbl>
              <c:idx val="1"/>
              <c:layout>
                <c:manualLayout>
                  <c:x val="0.1553149355578734"/>
                  <c:y val="0.119402985074626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24-40E0-B277-267A0376A33A}"/>
                </c:ext>
              </c:extLst>
            </c:dLbl>
            <c:dLbl>
              <c:idx val="2"/>
              <c:layout>
                <c:manualLayout>
                  <c:x val="-0.13258592059818472"/>
                  <c:y val="-7.4626865671641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24-40E0-B277-267A0376A33A}"/>
                </c:ext>
              </c:extLst>
            </c:dLbl>
            <c:dLbl>
              <c:idx val="3"/>
              <c:layout>
                <c:manualLayout>
                  <c:x val="-0.19698479631730306"/>
                  <c:y val="-2.2388059701492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24-40E0-B277-267A0376A3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Analysis!$D$6:$D$10</c:f>
              <c:strCache>
                <c:ptCount val="4"/>
                <c:pt idx="0">
                  <c:v>Card</c:v>
                </c:pt>
                <c:pt idx="1">
                  <c:v>Cash</c:v>
                </c:pt>
                <c:pt idx="2">
                  <c:v>Transfer</c:v>
                </c:pt>
                <c:pt idx="3">
                  <c:v>Wallet</c:v>
                </c:pt>
              </c:strCache>
            </c:strRef>
          </c:cat>
          <c:val>
            <c:numRef>
              <c:f>Analysis!$E$6:$E$10</c:f>
              <c:numCache>
                <c:formatCode>0%</c:formatCode>
                <c:ptCount val="4"/>
                <c:pt idx="0">
                  <c:v>0.12149532710280374</c:v>
                </c:pt>
                <c:pt idx="1">
                  <c:v>4.6728971962616821E-2</c:v>
                </c:pt>
                <c:pt idx="2">
                  <c:v>0.81308411214953269</c:v>
                </c:pt>
                <c:pt idx="3">
                  <c:v>1.8691588785046728E-2</c:v>
                </c:pt>
              </c:numCache>
            </c:numRef>
          </c:val>
          <c:extLst>
            <c:ext xmlns:c16="http://schemas.microsoft.com/office/drawing/2014/chart" uri="{C3380CC4-5D6E-409C-BE32-E72D297353CC}">
              <c16:uniqueId val="{00000008-1F24-40E0-B277-267A0376A33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3164101646385113"/>
          <c:y val="0.51951286872723001"/>
          <c:w val="0.14875837744609491"/>
          <c:h val="0.449576867803975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(Analysis).xlsx]Analysis!PivotTable5</c:name>
    <c:fmtId val="20"/>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US" sz="1000" b="1">
                <a:solidFill>
                  <a:schemeClr val="tx1"/>
                </a:solidFill>
              </a:rPr>
              <a:t>Product Category</a:t>
            </a:r>
            <a:r>
              <a:rPr lang="en-US" sz="1000" b="1" baseline="0">
                <a:solidFill>
                  <a:schemeClr val="tx1"/>
                </a:solidFill>
              </a:rPr>
              <a:t> by Gender</a:t>
            </a:r>
            <a:endParaRPr lang="en-US" sz="1050" b="1">
              <a:solidFill>
                <a:schemeClr val="tx1"/>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81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Analysis!$K$4:$K$5</c:f>
              <c:strCache>
                <c:ptCount val="1"/>
                <c:pt idx="0">
                  <c:v>Female</c:v>
                </c:pt>
              </c:strCache>
            </c:strRef>
          </c:tx>
          <c:spPr>
            <a:solidFill>
              <a:srgbClr val="081C15"/>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Analysis!$K$6:$K$10</c:f>
              <c:numCache>
                <c:formatCode>0</c:formatCode>
                <c:ptCount val="5"/>
                <c:pt idx="0">
                  <c:v>2</c:v>
                </c:pt>
                <c:pt idx="1">
                  <c:v>8</c:v>
                </c:pt>
                <c:pt idx="2">
                  <c:v>8</c:v>
                </c:pt>
                <c:pt idx="3">
                  <c:v>4</c:v>
                </c:pt>
                <c:pt idx="4">
                  <c:v>21</c:v>
                </c:pt>
              </c:numCache>
            </c:numRef>
          </c:val>
          <c:extLst>
            <c:ext xmlns:c16="http://schemas.microsoft.com/office/drawing/2014/chart" uri="{C3380CC4-5D6E-409C-BE32-E72D297353CC}">
              <c16:uniqueId val="{00000000-9F9A-4825-B93C-07E5204FDF07}"/>
            </c:ext>
          </c:extLst>
        </c:ser>
        <c:ser>
          <c:idx val="1"/>
          <c:order val="1"/>
          <c:tx>
            <c:strRef>
              <c:f>Analysis!$L$4:$L$5</c:f>
              <c:strCache>
                <c:ptCount val="1"/>
                <c:pt idx="0">
                  <c:v>Male</c:v>
                </c:pt>
              </c:strCache>
            </c:strRef>
          </c:tx>
          <c:spPr>
            <a:solidFill>
              <a:srgbClr val="74C69D"/>
            </a:solidFill>
            <a:ln>
              <a:noFill/>
            </a:ln>
            <a:effectLst/>
          </c:spPr>
          <c:invertIfNegative val="0"/>
          <c:cat>
            <c:strRef>
              <c:f>Analysis!$J$6:$J$10</c:f>
              <c:strCache>
                <c:ptCount val="5"/>
                <c:pt idx="0">
                  <c:v>Electronics</c:v>
                </c:pt>
                <c:pt idx="1">
                  <c:v>Beauty</c:v>
                </c:pt>
                <c:pt idx="2">
                  <c:v>Fashion</c:v>
                </c:pt>
                <c:pt idx="3">
                  <c:v>Groceries</c:v>
                </c:pt>
                <c:pt idx="4">
                  <c:v>Food</c:v>
                </c:pt>
              </c:strCache>
            </c:strRef>
          </c:cat>
          <c:val>
            <c:numRef>
              <c:f>Analysis!$L$6:$L$10</c:f>
              <c:numCache>
                <c:formatCode>0</c:formatCode>
                <c:ptCount val="5"/>
                <c:pt idx="0">
                  <c:v>3</c:v>
                </c:pt>
                <c:pt idx="1">
                  <c:v>1</c:v>
                </c:pt>
                <c:pt idx="2">
                  <c:v>6</c:v>
                </c:pt>
                <c:pt idx="3">
                  <c:v>17</c:v>
                </c:pt>
                <c:pt idx="4">
                  <c:v>37</c:v>
                </c:pt>
              </c:numCache>
            </c:numRef>
          </c:val>
          <c:extLst>
            <c:ext xmlns:c16="http://schemas.microsoft.com/office/drawing/2014/chart" uri="{C3380CC4-5D6E-409C-BE32-E72D297353CC}">
              <c16:uniqueId val="{00000004-9332-402D-8C2C-E9E0995582A5}"/>
            </c:ext>
          </c:extLst>
        </c:ser>
        <c:dLbls>
          <c:showLegendKey val="0"/>
          <c:showVal val="0"/>
          <c:showCatName val="0"/>
          <c:showSerName val="0"/>
          <c:showPercent val="0"/>
          <c:showBubbleSize val="0"/>
        </c:dLbls>
        <c:gapWidth val="219"/>
        <c:overlap val="-27"/>
        <c:axId val="1773488576"/>
        <c:axId val="1773497728"/>
      </c:barChart>
      <c:catAx>
        <c:axId val="17734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773497728"/>
        <c:crosses val="autoZero"/>
        <c:auto val="1"/>
        <c:lblAlgn val="ctr"/>
        <c:lblOffset val="100"/>
        <c:noMultiLvlLbl val="0"/>
      </c:catAx>
      <c:valAx>
        <c:axId val="1773497728"/>
        <c:scaling>
          <c:orientation val="minMax"/>
        </c:scaling>
        <c:delete val="1"/>
        <c:axPos val="l"/>
        <c:numFmt formatCode="0" sourceLinked="1"/>
        <c:majorTickMark val="none"/>
        <c:minorTickMark val="none"/>
        <c:tickLblPos val="nextTo"/>
        <c:crossAx val="1773488576"/>
        <c:crosses val="autoZero"/>
        <c:crossBetween val="between"/>
      </c:valAx>
      <c:spPr>
        <a:noFill/>
        <a:ln>
          <a:noFill/>
        </a:ln>
        <a:effectLst/>
      </c:spPr>
    </c:plotArea>
    <c:legend>
      <c:legendPos val="r"/>
      <c:layout>
        <c:manualLayout>
          <c:xMode val="edge"/>
          <c:yMode val="edge"/>
          <c:x val="0.8279134557558635"/>
          <c:y val="0.61430849989905112"/>
          <c:w val="0.13508012797101662"/>
          <c:h val="0.2205352048385256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solidFill>
                  <a:srgbClr val="081C15"/>
                </a:solidFill>
                <a:latin typeface="Segoe UI" panose="020B0502040204020203" pitchFamily="34" charset="0"/>
                <a:cs typeface="Segoe UI" panose="020B0502040204020203" pitchFamily="34" charset="0"/>
              </a:rPr>
              <a:t>Gender</a:t>
            </a:r>
            <a:r>
              <a:rPr lang="en-US" sz="1000" b="1" baseline="0">
                <a:solidFill>
                  <a:srgbClr val="081C15"/>
                </a:solidFill>
                <a:latin typeface="Segoe UI" panose="020B0502040204020203" pitchFamily="34" charset="0"/>
                <a:cs typeface="Segoe UI" panose="020B0502040204020203" pitchFamily="34" charset="0"/>
              </a:rPr>
              <a:t> Distribution</a:t>
            </a:r>
            <a:endParaRPr lang="en-US" sz="1000" b="1">
              <a:solidFill>
                <a:srgbClr val="081C1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dLbl>
          <c:idx val="0"/>
          <c:layout>
            <c:manualLayout>
              <c:x val="1.4480514317863053E-2"/>
              <c:y val="-5.9595800524934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D6A4F"/>
          </a:solidFill>
          <a:ln w="19050">
            <a:solidFill>
              <a:schemeClr val="lt1"/>
            </a:solidFill>
          </a:ln>
          <a:effectLst/>
        </c:spPr>
        <c:dLbl>
          <c:idx val="0"/>
          <c:layout>
            <c:manualLayout>
              <c:x val="-4.1374718774143546E-2"/>
              <c:y val="-5.13508311461067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0253084974975"/>
          <c:y val="0.20749489504017865"/>
          <c:w val="0.39358995492258764"/>
          <c:h val="0.74851325442126759"/>
        </c:manualLayout>
      </c:layout>
      <c:pieChart>
        <c:varyColors val="1"/>
        <c:ser>
          <c:idx val="0"/>
          <c:order val="0"/>
          <c:tx>
            <c:strRef>
              <c:f>Analysis!$E$22</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6AEF-4D1D-B4E1-55834696BF51}"/>
              </c:ext>
            </c:extLst>
          </c:dPt>
          <c:dPt>
            <c:idx val="1"/>
            <c:bubble3D val="0"/>
            <c:spPr>
              <a:solidFill>
                <a:srgbClr val="2D6A4F"/>
              </a:solidFill>
              <a:ln w="19050">
                <a:solidFill>
                  <a:schemeClr val="lt1"/>
                </a:solidFill>
              </a:ln>
              <a:effectLst/>
            </c:spPr>
            <c:extLst>
              <c:ext xmlns:c16="http://schemas.microsoft.com/office/drawing/2014/chart" uri="{C3380CC4-5D6E-409C-BE32-E72D297353CC}">
                <c16:uniqueId val="{00000003-6AEF-4D1D-B4E1-55834696BF51}"/>
              </c:ext>
            </c:extLst>
          </c:dPt>
          <c:dLbls>
            <c:dLbl>
              <c:idx val="0"/>
              <c:layout>
                <c:manualLayout>
                  <c:x val="1.4480514317863053E-2"/>
                  <c:y val="-5.95958005249343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EF-4D1D-B4E1-55834696BF51}"/>
                </c:ext>
              </c:extLst>
            </c:dLbl>
            <c:dLbl>
              <c:idx val="1"/>
              <c:layout>
                <c:manualLayout>
                  <c:x val="-4.1374718774143546E-2"/>
                  <c:y val="-5.13508311461067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EF-4D1D-B4E1-55834696BF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Analysis!$D$23:$D$25</c:f>
              <c:strCache>
                <c:ptCount val="2"/>
                <c:pt idx="0">
                  <c:v>Female</c:v>
                </c:pt>
                <c:pt idx="1">
                  <c:v>Male</c:v>
                </c:pt>
              </c:strCache>
            </c:strRef>
          </c:cat>
          <c:val>
            <c:numRef>
              <c:f>Analysis!$E$23:$E$25</c:f>
              <c:numCache>
                <c:formatCode>0%</c:formatCode>
                <c:ptCount val="2"/>
                <c:pt idx="0">
                  <c:v>0.40186915887850466</c:v>
                </c:pt>
                <c:pt idx="1">
                  <c:v>0.59813084112149528</c:v>
                </c:pt>
              </c:numCache>
            </c:numRef>
          </c:val>
          <c:extLst>
            <c:ext xmlns:c16="http://schemas.microsoft.com/office/drawing/2014/chart" uri="{C3380CC4-5D6E-409C-BE32-E72D297353CC}">
              <c16:uniqueId val="{00000004-6AEF-4D1D-B4E1-55834696BF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63728817881365"/>
          <c:y val="0.77580667602311359"/>
          <c:w val="0.16977175328943078"/>
          <c:h val="0.1875334485280915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(Analysis).xlsx]Analysis!PivotTable9</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081C15"/>
                </a:solidFill>
              </a:rPr>
              <a:t>Payment Method vs Category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D6A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AD7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81C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7E4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Analysis!$U$3:$U$4</c:f>
              <c:strCache>
                <c:ptCount val="1"/>
                <c:pt idx="0">
                  <c:v>Card</c:v>
                </c:pt>
              </c:strCache>
            </c:strRef>
          </c:tx>
          <c:spPr>
            <a:solidFill>
              <a:srgbClr val="2D6A4F"/>
            </a:solidFill>
            <a:ln>
              <a:noFill/>
            </a:ln>
            <a:effectLst/>
          </c:spPr>
          <c:invertIfNegative val="0"/>
          <c:cat>
            <c:strRef>
              <c:f>Analysis!$T$5:$T$7</c:f>
              <c:strCache>
                <c:ptCount val="3"/>
                <c:pt idx="0">
                  <c:v>Low</c:v>
                </c:pt>
                <c:pt idx="1">
                  <c:v>Medium</c:v>
                </c:pt>
                <c:pt idx="2">
                  <c:v>High</c:v>
                </c:pt>
              </c:strCache>
            </c:strRef>
          </c:cat>
          <c:val>
            <c:numRef>
              <c:f>Analysis!$U$5:$U$7</c:f>
              <c:numCache>
                <c:formatCode>0</c:formatCode>
                <c:ptCount val="3"/>
                <c:pt idx="0">
                  <c:v>1</c:v>
                </c:pt>
                <c:pt idx="1">
                  <c:v>4</c:v>
                </c:pt>
                <c:pt idx="2">
                  <c:v>8</c:v>
                </c:pt>
              </c:numCache>
            </c:numRef>
          </c:val>
          <c:extLst>
            <c:ext xmlns:c16="http://schemas.microsoft.com/office/drawing/2014/chart" uri="{C3380CC4-5D6E-409C-BE32-E72D297353CC}">
              <c16:uniqueId val="{00000000-4A0D-4F4A-AC9C-4920B819A020}"/>
            </c:ext>
          </c:extLst>
        </c:ser>
        <c:ser>
          <c:idx val="1"/>
          <c:order val="1"/>
          <c:tx>
            <c:strRef>
              <c:f>Analysis!$V$3:$V$4</c:f>
              <c:strCache>
                <c:ptCount val="1"/>
                <c:pt idx="0">
                  <c:v>Cash</c:v>
                </c:pt>
              </c:strCache>
            </c:strRef>
          </c:tx>
          <c:spPr>
            <a:solidFill>
              <a:srgbClr val="DAD7CD"/>
            </a:solidFill>
            <a:ln>
              <a:noFill/>
            </a:ln>
            <a:effectLst/>
          </c:spPr>
          <c:invertIfNegative val="0"/>
          <c:cat>
            <c:strRef>
              <c:f>Analysis!$T$5:$T$7</c:f>
              <c:strCache>
                <c:ptCount val="3"/>
                <c:pt idx="0">
                  <c:v>Low</c:v>
                </c:pt>
                <c:pt idx="1">
                  <c:v>Medium</c:v>
                </c:pt>
                <c:pt idx="2">
                  <c:v>High</c:v>
                </c:pt>
              </c:strCache>
            </c:strRef>
          </c:cat>
          <c:val>
            <c:numRef>
              <c:f>Analysis!$V$5:$V$7</c:f>
              <c:numCache>
                <c:formatCode>0</c:formatCode>
                <c:ptCount val="3"/>
                <c:pt idx="0">
                  <c:v>1</c:v>
                </c:pt>
                <c:pt idx="1">
                  <c:v>1</c:v>
                </c:pt>
                <c:pt idx="2">
                  <c:v>3</c:v>
                </c:pt>
              </c:numCache>
            </c:numRef>
          </c:val>
          <c:extLst>
            <c:ext xmlns:c16="http://schemas.microsoft.com/office/drawing/2014/chart" uri="{C3380CC4-5D6E-409C-BE32-E72D297353CC}">
              <c16:uniqueId val="{00000001-4A0D-4F4A-AC9C-4920B819A020}"/>
            </c:ext>
          </c:extLst>
        </c:ser>
        <c:ser>
          <c:idx val="2"/>
          <c:order val="2"/>
          <c:tx>
            <c:strRef>
              <c:f>Analysis!$W$3:$W$4</c:f>
              <c:strCache>
                <c:ptCount val="1"/>
                <c:pt idx="0">
                  <c:v>Transfer</c:v>
                </c:pt>
              </c:strCache>
            </c:strRef>
          </c:tx>
          <c:spPr>
            <a:solidFill>
              <a:srgbClr val="081C15"/>
            </a:solidFill>
            <a:ln>
              <a:noFill/>
            </a:ln>
            <a:effectLst/>
          </c:spPr>
          <c:invertIfNegative val="0"/>
          <c:cat>
            <c:strRef>
              <c:f>Analysis!$T$5:$T$7</c:f>
              <c:strCache>
                <c:ptCount val="3"/>
                <c:pt idx="0">
                  <c:v>Low</c:v>
                </c:pt>
                <c:pt idx="1">
                  <c:v>Medium</c:v>
                </c:pt>
                <c:pt idx="2">
                  <c:v>High</c:v>
                </c:pt>
              </c:strCache>
            </c:strRef>
          </c:cat>
          <c:val>
            <c:numRef>
              <c:f>Analysis!$W$5:$W$7</c:f>
              <c:numCache>
                <c:formatCode>0</c:formatCode>
                <c:ptCount val="3"/>
                <c:pt idx="0">
                  <c:v>5</c:v>
                </c:pt>
                <c:pt idx="1">
                  <c:v>26</c:v>
                </c:pt>
                <c:pt idx="2">
                  <c:v>56</c:v>
                </c:pt>
              </c:numCache>
            </c:numRef>
          </c:val>
          <c:extLst>
            <c:ext xmlns:c16="http://schemas.microsoft.com/office/drawing/2014/chart" uri="{C3380CC4-5D6E-409C-BE32-E72D297353CC}">
              <c16:uniqueId val="{00000011-4A0D-4F4A-AC9C-4920B819A020}"/>
            </c:ext>
          </c:extLst>
        </c:ser>
        <c:ser>
          <c:idx val="3"/>
          <c:order val="3"/>
          <c:tx>
            <c:strRef>
              <c:f>Analysis!$X$3:$X$4</c:f>
              <c:strCache>
                <c:ptCount val="1"/>
                <c:pt idx="0">
                  <c:v>Wallet</c:v>
                </c:pt>
              </c:strCache>
            </c:strRef>
          </c:tx>
          <c:spPr>
            <a:solidFill>
              <a:srgbClr val="B7E4C7"/>
            </a:solidFill>
            <a:ln>
              <a:noFill/>
            </a:ln>
            <a:effectLst/>
          </c:spPr>
          <c:invertIfNegative val="0"/>
          <c:cat>
            <c:strRef>
              <c:f>Analysis!$T$5:$T$7</c:f>
              <c:strCache>
                <c:ptCount val="3"/>
                <c:pt idx="0">
                  <c:v>Low</c:v>
                </c:pt>
                <c:pt idx="1">
                  <c:v>Medium</c:v>
                </c:pt>
                <c:pt idx="2">
                  <c:v>High</c:v>
                </c:pt>
              </c:strCache>
            </c:strRef>
          </c:cat>
          <c:val>
            <c:numRef>
              <c:f>Analysis!$X$5:$X$7</c:f>
              <c:numCache>
                <c:formatCode>0</c:formatCode>
                <c:ptCount val="3"/>
                <c:pt idx="2">
                  <c:v>2</c:v>
                </c:pt>
              </c:numCache>
            </c:numRef>
          </c:val>
          <c:extLst>
            <c:ext xmlns:c16="http://schemas.microsoft.com/office/drawing/2014/chart" uri="{C3380CC4-5D6E-409C-BE32-E72D297353CC}">
              <c16:uniqueId val="{00000013-4A0D-4F4A-AC9C-4920B819A020}"/>
            </c:ext>
          </c:extLst>
        </c:ser>
        <c:dLbls>
          <c:showLegendKey val="0"/>
          <c:showVal val="0"/>
          <c:showCatName val="0"/>
          <c:showSerName val="0"/>
          <c:showPercent val="0"/>
          <c:showBubbleSize val="0"/>
        </c:dLbls>
        <c:gapWidth val="219"/>
        <c:overlap val="-27"/>
        <c:axId val="1522298112"/>
        <c:axId val="1522302272"/>
      </c:barChart>
      <c:catAx>
        <c:axId val="152229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02272"/>
        <c:crosses val="autoZero"/>
        <c:auto val="1"/>
        <c:lblAlgn val="ctr"/>
        <c:lblOffset val="100"/>
        <c:noMultiLvlLbl val="0"/>
      </c:catAx>
      <c:valAx>
        <c:axId val="1522302272"/>
        <c:scaling>
          <c:orientation val="minMax"/>
        </c:scaling>
        <c:delete val="1"/>
        <c:axPos val="l"/>
        <c:numFmt formatCode="0" sourceLinked="1"/>
        <c:majorTickMark val="none"/>
        <c:minorTickMark val="none"/>
        <c:tickLblPos val="nextTo"/>
        <c:crossAx val="1522298112"/>
        <c:crosses val="autoZero"/>
        <c:crossBetween val="between"/>
      </c:valAx>
      <c:spPr>
        <a:noFill/>
        <a:ln>
          <a:noFill/>
        </a:ln>
        <a:effectLst/>
      </c:spPr>
    </c:plotArea>
    <c:legend>
      <c:legendPos val="r"/>
      <c:layout>
        <c:manualLayout>
          <c:xMode val="edge"/>
          <c:yMode val="edge"/>
          <c:x val="0.82945388942147735"/>
          <c:y val="0.50600271729373292"/>
          <c:w val="0.14467141409888121"/>
          <c:h val="0.452302087849654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[Buying Behaviour of Nigerians (Analysis).xlsx]Analysis!PivotTable14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ysClr val="windowText" lastClr="000000"/>
                </a:solidFill>
                <a:latin typeface="Segoe UI" panose="020B0502040204020203" pitchFamily="34" charset="0"/>
                <a:cs typeface="Segoe UI" panose="020B0502040204020203" pitchFamily="34" charset="0"/>
              </a:rPr>
              <a:t>Buying Decision Influence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4C69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5669291338581"/>
          <c:y val="0.23919041809914607"/>
          <c:w val="0.76490179765265187"/>
          <c:h val="0.68334479316845953"/>
        </c:manualLayout>
      </c:layout>
      <c:barChart>
        <c:barDir val="bar"/>
        <c:grouping val="clustered"/>
        <c:varyColors val="0"/>
        <c:ser>
          <c:idx val="0"/>
          <c:order val="0"/>
          <c:tx>
            <c:strRef>
              <c:f>Analysis!$E$36</c:f>
              <c:strCache>
                <c:ptCount val="1"/>
                <c:pt idx="0">
                  <c:v>Total</c:v>
                </c:pt>
              </c:strCache>
            </c:strRef>
          </c:tx>
          <c:spPr>
            <a:solidFill>
              <a:srgbClr val="74C69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Analysis!$D$37:$D$41</c:f>
              <c:strCache>
                <c:ptCount val="5"/>
                <c:pt idx="0">
                  <c:v>Influencers</c:v>
                </c:pt>
                <c:pt idx="1">
                  <c:v>Ads</c:v>
                </c:pt>
                <c:pt idx="2">
                  <c:v>Friends</c:v>
                </c:pt>
                <c:pt idx="3">
                  <c:v>Discounts</c:v>
                </c:pt>
                <c:pt idx="4">
                  <c:v>Quality</c:v>
                </c:pt>
              </c:strCache>
            </c:strRef>
          </c:cat>
          <c:val>
            <c:numRef>
              <c:f>Analysis!$E$37:$E$41</c:f>
              <c:numCache>
                <c:formatCode>0</c:formatCode>
                <c:ptCount val="5"/>
                <c:pt idx="0">
                  <c:v>2</c:v>
                </c:pt>
                <c:pt idx="1">
                  <c:v>4</c:v>
                </c:pt>
                <c:pt idx="2">
                  <c:v>5</c:v>
                </c:pt>
                <c:pt idx="3">
                  <c:v>37</c:v>
                </c:pt>
                <c:pt idx="4">
                  <c:v>59</c:v>
                </c:pt>
              </c:numCache>
            </c:numRef>
          </c:val>
          <c:extLst>
            <c:ext xmlns:c16="http://schemas.microsoft.com/office/drawing/2014/chart" uri="{C3380CC4-5D6E-409C-BE32-E72D297353CC}">
              <c16:uniqueId val="{00000000-FFFD-4110-A53E-65241198DE67}"/>
            </c:ext>
          </c:extLst>
        </c:ser>
        <c:dLbls>
          <c:dLblPos val="outEnd"/>
          <c:showLegendKey val="0"/>
          <c:showVal val="1"/>
          <c:showCatName val="0"/>
          <c:showSerName val="0"/>
          <c:showPercent val="0"/>
          <c:showBubbleSize val="0"/>
        </c:dLbls>
        <c:gapWidth val="182"/>
        <c:axId val="1494837535"/>
        <c:axId val="1494836703"/>
      </c:barChart>
      <c:catAx>
        <c:axId val="149483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1B4332"/>
                </a:solidFill>
                <a:latin typeface="Segoe UI" panose="020B0502040204020203" pitchFamily="34" charset="0"/>
                <a:ea typeface="+mn-ea"/>
                <a:cs typeface="Segoe UI" panose="020B0502040204020203" pitchFamily="34" charset="0"/>
              </a:defRPr>
            </a:pPr>
            <a:endParaRPr lang="en-US"/>
          </a:p>
        </c:txPr>
        <c:crossAx val="1494836703"/>
        <c:crosses val="autoZero"/>
        <c:auto val="1"/>
        <c:lblAlgn val="ctr"/>
        <c:lblOffset val="100"/>
        <c:noMultiLvlLbl val="0"/>
      </c:catAx>
      <c:valAx>
        <c:axId val="1494836703"/>
        <c:scaling>
          <c:orientation val="minMax"/>
        </c:scaling>
        <c:delete val="1"/>
        <c:axPos val="b"/>
        <c:numFmt formatCode="0" sourceLinked="1"/>
        <c:majorTickMark val="none"/>
        <c:minorTickMark val="none"/>
        <c:tickLblPos val="nextTo"/>
        <c:crossAx val="14948375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12.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11.xml"/><Relationship Id="rId16" Type="http://schemas.openxmlformats.org/officeDocument/2006/relationships/chart" Target="../charts/chart15.xml"/><Relationship Id="rId1" Type="http://schemas.openxmlformats.org/officeDocument/2006/relationships/chart" Target="../charts/chart10.xml"/><Relationship Id="rId6" Type="http://schemas.microsoft.com/office/2007/relationships/hdphoto" Target="../media/hdphoto1.wdp"/><Relationship Id="rId11" Type="http://schemas.openxmlformats.org/officeDocument/2006/relationships/image" Target="../media/image6.png"/><Relationship Id="rId5" Type="http://schemas.openxmlformats.org/officeDocument/2006/relationships/image" Target="../media/image1.png"/><Relationship Id="rId15" Type="http://schemas.openxmlformats.org/officeDocument/2006/relationships/chart" Target="../charts/chart14.xml"/><Relationship Id="rId10" Type="http://schemas.openxmlformats.org/officeDocument/2006/relationships/image" Target="../media/image5.svg"/><Relationship Id="rId4" Type="http://schemas.openxmlformats.org/officeDocument/2006/relationships/chart" Target="../charts/chart13.xml"/><Relationship Id="rId9" Type="http://schemas.openxmlformats.org/officeDocument/2006/relationships/image" Target="../media/image4.png"/><Relationship Id="rId1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3</xdr:col>
      <xdr:colOff>31750</xdr:colOff>
      <xdr:row>11</xdr:row>
      <xdr:rowOff>6350</xdr:rowOff>
    </xdr:from>
    <xdr:to>
      <xdr:col>4</xdr:col>
      <xdr:colOff>1441450</xdr:colOff>
      <xdr:row>19</xdr:row>
      <xdr:rowOff>69850</xdr:rowOff>
    </xdr:to>
    <xdr:graphicFrame macro="">
      <xdr:nvGraphicFramePr>
        <xdr:cNvPr id="4" name="Chart 3">
          <a:extLst>
            <a:ext uri="{FF2B5EF4-FFF2-40B4-BE49-F238E27FC236}">
              <a16:creationId xmlns:a16="http://schemas.microsoft.com/office/drawing/2014/main" id="{2CB9ACD3-7EB8-4BD3-B02C-6C17A360B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1536700</xdr:colOff>
      <xdr:row>27</xdr:row>
      <xdr:rowOff>152400</xdr:rowOff>
    </xdr:from>
    <xdr:to>
      <xdr:col>8</xdr:col>
      <xdr:colOff>133350</xdr:colOff>
      <xdr:row>39</xdr:row>
      <xdr:rowOff>44450</xdr:rowOff>
    </xdr:to>
    <xdr:graphicFrame macro="">
      <xdr:nvGraphicFramePr>
        <xdr:cNvPr id="5" name="Chart 4">
          <a:extLst>
            <a:ext uri="{FF2B5EF4-FFF2-40B4-BE49-F238E27FC236}">
              <a16:creationId xmlns:a16="http://schemas.microsoft.com/office/drawing/2014/main" id="{4D5C3722-5437-4478-9B39-429AFA3E4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10</xdr:row>
      <xdr:rowOff>28575</xdr:rowOff>
    </xdr:from>
    <xdr:to>
      <xdr:col>12</xdr:col>
      <xdr:colOff>63500</xdr:colOff>
      <xdr:row>21</xdr:row>
      <xdr:rowOff>44450</xdr:rowOff>
    </xdr:to>
    <xdr:graphicFrame macro="">
      <xdr:nvGraphicFramePr>
        <xdr:cNvPr id="7" name="Chart 6">
          <a:extLst>
            <a:ext uri="{FF2B5EF4-FFF2-40B4-BE49-F238E27FC236}">
              <a16:creationId xmlns:a16="http://schemas.microsoft.com/office/drawing/2014/main" id="{19A66E21-2F0F-403D-8271-CC1AAD7B4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876300</xdr:colOff>
      <xdr:row>25</xdr:row>
      <xdr:rowOff>53975</xdr:rowOff>
    </xdr:from>
    <xdr:to>
      <xdr:col>4</xdr:col>
      <xdr:colOff>1485900</xdr:colOff>
      <xdr:row>33</xdr:row>
      <xdr:rowOff>127000</xdr:rowOff>
    </xdr:to>
    <xdr:graphicFrame macro="">
      <xdr:nvGraphicFramePr>
        <xdr:cNvPr id="8" name="Chart 7">
          <a:extLst>
            <a:ext uri="{FF2B5EF4-FFF2-40B4-BE49-F238E27FC236}">
              <a16:creationId xmlns:a16="http://schemas.microsoft.com/office/drawing/2014/main" id="{E69B4CCD-DA9D-4139-9292-938A61AF7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27</xdr:row>
      <xdr:rowOff>101600</xdr:rowOff>
    </xdr:from>
    <xdr:to>
      <xdr:col>12</xdr:col>
      <xdr:colOff>412750</xdr:colOff>
      <xdr:row>39</xdr:row>
      <xdr:rowOff>47624</xdr:rowOff>
    </xdr:to>
    <xdr:graphicFrame macro="">
      <xdr:nvGraphicFramePr>
        <xdr:cNvPr id="9" name="Chart 8">
          <a:extLst>
            <a:ext uri="{FF2B5EF4-FFF2-40B4-BE49-F238E27FC236}">
              <a16:creationId xmlns:a16="http://schemas.microsoft.com/office/drawing/2014/main" id="{7AF24336-001C-4555-9282-698F8E5B1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596900</xdr:colOff>
      <xdr:row>10</xdr:row>
      <xdr:rowOff>34925</xdr:rowOff>
    </xdr:from>
    <xdr:to>
      <xdr:col>17</xdr:col>
      <xdr:colOff>692150</xdr:colOff>
      <xdr:row>25</xdr:row>
      <xdr:rowOff>12700</xdr:rowOff>
    </xdr:to>
    <xdr:graphicFrame macro="">
      <xdr:nvGraphicFramePr>
        <xdr:cNvPr id="11" name="Chart 10">
          <a:extLst>
            <a:ext uri="{FF2B5EF4-FFF2-40B4-BE49-F238E27FC236}">
              <a16:creationId xmlns:a16="http://schemas.microsoft.com/office/drawing/2014/main" id="{1098C7AA-E678-426D-B303-0CE998280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590550</xdr:colOff>
      <xdr:row>7</xdr:row>
      <xdr:rowOff>66675</xdr:rowOff>
    </xdr:from>
    <xdr:to>
      <xdr:col>23</xdr:col>
      <xdr:colOff>393700</xdr:colOff>
      <xdr:row>24</xdr:row>
      <xdr:rowOff>95250</xdr:rowOff>
    </xdr:to>
    <xdr:graphicFrame macro="">
      <xdr:nvGraphicFramePr>
        <xdr:cNvPr id="12" name="Chart 11">
          <a:extLst>
            <a:ext uri="{FF2B5EF4-FFF2-40B4-BE49-F238E27FC236}">
              <a16:creationId xmlns:a16="http://schemas.microsoft.com/office/drawing/2014/main" id="{51A8E3B7-2B80-43CD-B88B-FFADA4DAA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44450</xdr:colOff>
      <xdr:row>9</xdr:row>
      <xdr:rowOff>3175</xdr:rowOff>
    </xdr:from>
    <xdr:to>
      <xdr:col>8</xdr:col>
      <xdr:colOff>19050</xdr:colOff>
      <xdr:row>18</xdr:row>
      <xdr:rowOff>82550</xdr:rowOff>
    </xdr:to>
    <xdr:graphicFrame macro="">
      <xdr:nvGraphicFramePr>
        <xdr:cNvPr id="2" name="Chart 1">
          <a:extLst>
            <a:ext uri="{FF2B5EF4-FFF2-40B4-BE49-F238E27FC236}">
              <a16:creationId xmlns:a16="http://schemas.microsoft.com/office/drawing/2014/main" id="{40E9B300-C441-4324-A92E-65680EF5B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1104900</xdr:colOff>
      <xdr:row>32</xdr:row>
      <xdr:rowOff>69850</xdr:rowOff>
    </xdr:from>
    <xdr:to>
      <xdr:col>4</xdr:col>
      <xdr:colOff>2057400</xdr:colOff>
      <xdr:row>44</xdr:row>
      <xdr:rowOff>69850</xdr:rowOff>
    </xdr:to>
    <xdr:graphicFrame macro="">
      <xdr:nvGraphicFramePr>
        <xdr:cNvPr id="3" name="Chart 2">
          <a:extLst>
            <a:ext uri="{FF2B5EF4-FFF2-40B4-BE49-F238E27FC236}">
              <a16:creationId xmlns:a16="http://schemas.microsoft.com/office/drawing/2014/main" id="{E0C501B8-F522-479F-8BF0-708D29835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64142</xdr:colOff>
      <xdr:row>0</xdr:row>
      <xdr:rowOff>69146</xdr:rowOff>
    </xdr:from>
    <xdr:to>
      <xdr:col>13</xdr:col>
      <xdr:colOff>545202</xdr:colOff>
      <xdr:row>2</xdr:row>
      <xdr:rowOff>141111</xdr:rowOff>
    </xdr:to>
    <xdr:sp macro="" textlink="">
      <xdr:nvSpPr>
        <xdr:cNvPr id="2" name="TextBox 1">
          <a:extLst>
            <a:ext uri="{FF2B5EF4-FFF2-40B4-BE49-F238E27FC236}">
              <a16:creationId xmlns:a16="http://schemas.microsoft.com/office/drawing/2014/main" id="{4543F2D5-7ECD-4F7E-874C-F6DC9573238D}"/>
            </a:ext>
          </a:extLst>
        </xdr:cNvPr>
        <xdr:cNvSpPr txBox="1"/>
      </xdr:nvSpPr>
      <xdr:spPr>
        <a:xfrm>
          <a:off x="3110859" y="69146"/>
          <a:ext cx="5355808" cy="392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081C15"/>
              </a:solidFill>
              <a:latin typeface="Segoe UI" panose="020B0502040204020203" pitchFamily="34" charset="0"/>
              <a:ea typeface="Verdana" panose="020B0604030504040204" pitchFamily="34" charset="0"/>
              <a:cs typeface="Segoe UI" panose="020B0502040204020203" pitchFamily="34" charset="0"/>
            </a:rPr>
            <a:t>Buying Behaviour</a:t>
          </a:r>
          <a:r>
            <a:rPr lang="en-US" sz="1800" b="1" baseline="0">
              <a:solidFill>
                <a:srgbClr val="081C15"/>
              </a:solidFill>
              <a:latin typeface="Segoe UI" panose="020B0502040204020203" pitchFamily="34" charset="0"/>
              <a:ea typeface="Verdana" panose="020B0604030504040204" pitchFamily="34" charset="0"/>
              <a:cs typeface="Segoe UI" panose="020B0502040204020203" pitchFamily="34" charset="0"/>
            </a:rPr>
            <a:t> of Nigerians - 2025 Report </a:t>
          </a:r>
          <a:endParaRPr lang="en-US" sz="1800" b="1">
            <a:solidFill>
              <a:srgbClr val="081C15"/>
            </a:solidFill>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twoCellAnchor>
    <xdr:from>
      <xdr:col>0</xdr:col>
      <xdr:colOff>238221</xdr:colOff>
      <xdr:row>3</xdr:row>
      <xdr:rowOff>108912</xdr:rowOff>
    </xdr:from>
    <xdr:to>
      <xdr:col>2</xdr:col>
      <xdr:colOff>364964</xdr:colOff>
      <xdr:row>6</xdr:row>
      <xdr:rowOff>62858</xdr:rowOff>
    </xdr:to>
    <xdr:sp macro="" textlink="Analysis!D2">
      <xdr:nvSpPr>
        <xdr:cNvPr id="3" name="TextBox 2">
          <a:extLst>
            <a:ext uri="{FF2B5EF4-FFF2-40B4-BE49-F238E27FC236}">
              <a16:creationId xmlns:a16="http://schemas.microsoft.com/office/drawing/2014/main" id="{8AF15391-625C-4A4C-A843-D04F0302EE4D}"/>
            </a:ext>
          </a:extLst>
        </xdr:cNvPr>
        <xdr:cNvSpPr txBox="1"/>
      </xdr:nvSpPr>
      <xdr:spPr>
        <a:xfrm>
          <a:off x="238221" y="429619"/>
          <a:ext cx="1345430" cy="435007"/>
        </a:xfrm>
        <a:prstGeom prst="roundRect">
          <a:avLst/>
        </a:prstGeom>
        <a:solidFill>
          <a:sysClr val="window" lastClr="FFFFFF"/>
        </a:solidFill>
        <a:ln w="9525" cmpd="sng">
          <a:solidFill>
            <a:srgbClr val="D8F3DC"/>
          </a:solidFill>
        </a:ln>
        <a:effectLst>
          <a:outerShdw blurRad="38100" dist="38100" dir="2700000" algn="tl" rotWithShape="0">
            <a:srgbClr val="081C15">
              <a:alpha val="3000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5B66B15-1DBB-4BED-84B7-8057D2CA6F25}" type="TxLink">
            <a:rPr lang="en-US" sz="1200" b="1" i="0" u="none" strike="noStrike">
              <a:solidFill>
                <a:srgbClr val="000000"/>
              </a:solidFill>
              <a:latin typeface="Segoe UI" panose="020B0502040204020203" pitchFamily="34" charset="0"/>
              <a:cs typeface="Segoe UI" panose="020B0502040204020203" pitchFamily="34" charset="0"/>
            </a:rPr>
            <a:pPr algn="ctr"/>
            <a:t>107</a:t>
          </a:fld>
          <a:endParaRPr lang="en-US" sz="1200" b="1">
            <a:latin typeface="Segoe UI" panose="020B0502040204020203" pitchFamily="34" charset="0"/>
            <a:cs typeface="Segoe UI" panose="020B0502040204020203" pitchFamily="34" charset="0"/>
          </a:endParaRPr>
        </a:p>
      </xdr:txBody>
    </xdr:sp>
    <xdr:clientData/>
  </xdr:twoCellAnchor>
  <xdr:twoCellAnchor>
    <xdr:from>
      <xdr:col>2</xdr:col>
      <xdr:colOff>447514</xdr:colOff>
      <xdr:row>3</xdr:row>
      <xdr:rowOff>121612</xdr:rowOff>
    </xdr:from>
    <xdr:to>
      <xdr:col>4</xdr:col>
      <xdr:colOff>574514</xdr:colOff>
      <xdr:row>6</xdr:row>
      <xdr:rowOff>75558</xdr:rowOff>
    </xdr:to>
    <xdr:sp macro="" textlink="Analysis!E2">
      <xdr:nvSpPr>
        <xdr:cNvPr id="4" name="TextBox 3">
          <a:extLst>
            <a:ext uri="{FF2B5EF4-FFF2-40B4-BE49-F238E27FC236}">
              <a16:creationId xmlns:a16="http://schemas.microsoft.com/office/drawing/2014/main" id="{73FB5E55-A5B2-401D-BA9E-BE42A0571CD8}"/>
            </a:ext>
          </a:extLst>
        </xdr:cNvPr>
        <xdr:cNvSpPr txBox="1"/>
      </xdr:nvSpPr>
      <xdr:spPr>
        <a:xfrm>
          <a:off x="1666201" y="442319"/>
          <a:ext cx="1345687" cy="435007"/>
        </a:xfrm>
        <a:prstGeom prst="roundRect">
          <a:avLst/>
        </a:prstGeom>
        <a:solidFill>
          <a:sysClr val="window" lastClr="FFFFFF"/>
        </a:solidFill>
        <a:ln w="9525" cmpd="sng">
          <a:solidFill>
            <a:srgbClr val="D8F3DC"/>
          </a:solidFill>
        </a:ln>
        <a:effectLst>
          <a:outerShdw blurRad="38100" dist="38100" dir="2700000" algn="tl" rotWithShape="0">
            <a:srgbClr val="081C15">
              <a:alpha val="3000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71BB4591-6259-412D-81DD-5D476F544EC5}" type="TxLink">
            <a:rPr lang="en-US" sz="1200" b="1" i="0" u="none" strike="noStrike">
              <a:solidFill>
                <a:srgbClr val="1B4332"/>
              </a:solidFill>
              <a:latin typeface="Segoe UI" panose="020B0502040204020203" pitchFamily="34" charset="0"/>
              <a:ea typeface="+mn-ea"/>
              <a:cs typeface="Segoe UI" panose="020B0502040204020203" pitchFamily="34" charset="0"/>
            </a:rPr>
            <a:pPr marL="0" indent="0" algn="ctr"/>
            <a:t>3</a:t>
          </a:fld>
          <a:endParaRPr lang="en-US" sz="1200" b="1" i="0" u="none" strike="noStrike">
            <a:solidFill>
              <a:srgbClr val="1B4332"/>
            </a:solidFill>
            <a:latin typeface="Segoe UI" panose="020B0502040204020203" pitchFamily="34" charset="0"/>
            <a:ea typeface="+mn-ea"/>
            <a:cs typeface="Segoe UI" panose="020B0502040204020203" pitchFamily="34" charset="0"/>
          </a:endParaRPr>
        </a:p>
      </xdr:txBody>
    </xdr:sp>
    <xdr:clientData/>
  </xdr:twoCellAnchor>
  <xdr:twoCellAnchor>
    <xdr:from>
      <xdr:col>5</xdr:col>
      <xdr:colOff>73121</xdr:colOff>
      <xdr:row>3</xdr:row>
      <xdr:rowOff>121612</xdr:rowOff>
    </xdr:from>
    <xdr:to>
      <xdr:col>7</xdr:col>
      <xdr:colOff>200121</xdr:colOff>
      <xdr:row>6</xdr:row>
      <xdr:rowOff>75558</xdr:rowOff>
    </xdr:to>
    <xdr:sp macro="" textlink="Analysis!F2">
      <xdr:nvSpPr>
        <xdr:cNvPr id="5" name="TextBox 4">
          <a:extLst>
            <a:ext uri="{FF2B5EF4-FFF2-40B4-BE49-F238E27FC236}">
              <a16:creationId xmlns:a16="http://schemas.microsoft.com/office/drawing/2014/main" id="{AB7AA152-D5C5-4461-932D-39853288A56D}"/>
            </a:ext>
          </a:extLst>
        </xdr:cNvPr>
        <xdr:cNvSpPr txBox="1"/>
      </xdr:nvSpPr>
      <xdr:spPr>
        <a:xfrm>
          <a:off x="3119838" y="442319"/>
          <a:ext cx="1345687" cy="435007"/>
        </a:xfrm>
        <a:prstGeom prst="roundRect">
          <a:avLst/>
        </a:prstGeom>
        <a:solidFill>
          <a:sysClr val="window" lastClr="FFFFFF"/>
        </a:solidFill>
        <a:ln w="9525" cmpd="sng">
          <a:solidFill>
            <a:srgbClr val="D8F3DC"/>
          </a:solidFill>
        </a:ln>
        <a:effectLst>
          <a:outerShdw blurRad="38100" dist="38100" dir="2700000" algn="tl" rotWithShape="0">
            <a:srgbClr val="081C15">
              <a:alpha val="30000"/>
            </a:srgbClr>
          </a:outerShdw>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1A955B7F-8AEF-4886-8AD9-96568007ED44}" type="TxLink">
            <a:rPr lang="en-US" sz="1200" b="1" i="0" u="none" strike="noStrike">
              <a:solidFill>
                <a:srgbClr val="1B4332"/>
              </a:solidFill>
              <a:latin typeface="Segoe UI" panose="020B0502040204020203" pitchFamily="34" charset="0"/>
              <a:ea typeface="+mn-ea"/>
              <a:cs typeface="Segoe UI" panose="020B0502040204020203" pitchFamily="34" charset="0"/>
            </a:rPr>
            <a:pPr marL="0" indent="0" algn="ctr"/>
            <a:t>₦ 126,710</a:t>
          </a:fld>
          <a:endParaRPr lang="en-US" sz="1200" b="1" i="0" u="none" strike="noStrike">
            <a:solidFill>
              <a:srgbClr val="1B4332"/>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244571</xdr:colOff>
      <xdr:row>3</xdr:row>
      <xdr:rowOff>2533</xdr:rowOff>
    </xdr:from>
    <xdr:to>
      <xdr:col>2</xdr:col>
      <xdr:colOff>250921</xdr:colOff>
      <xdr:row>4</xdr:row>
      <xdr:rowOff>62858</xdr:rowOff>
    </xdr:to>
    <xdr:sp macro="" textlink="">
      <xdr:nvSpPr>
        <xdr:cNvPr id="7" name="TextBox 6">
          <a:extLst>
            <a:ext uri="{FF2B5EF4-FFF2-40B4-BE49-F238E27FC236}">
              <a16:creationId xmlns:a16="http://schemas.microsoft.com/office/drawing/2014/main" id="{FD7C83BD-C506-4EB2-8DC5-32F3153BAEBF}"/>
            </a:ext>
          </a:extLst>
        </xdr:cNvPr>
        <xdr:cNvSpPr txBox="1"/>
      </xdr:nvSpPr>
      <xdr:spPr>
        <a:xfrm>
          <a:off x="244571" y="323240"/>
          <a:ext cx="1225037" cy="220679"/>
        </a:xfrm>
        <a:prstGeom prst="rect">
          <a:avLst/>
        </a:prstGeom>
        <a:solidFill>
          <a:srgbClr val="B7E4C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700" b="1" i="0" u="none" strike="noStrike">
              <a:solidFill>
                <a:schemeClr val="dk1"/>
              </a:solidFill>
              <a:effectLst/>
              <a:latin typeface="Segoe UI" panose="020B0502040204020203" pitchFamily="34" charset="0"/>
              <a:ea typeface="+mn-ea"/>
              <a:cs typeface="Segoe UI" panose="020B0502040204020203" pitchFamily="34" charset="0"/>
            </a:rPr>
            <a:t>Total Respondents </a:t>
          </a:r>
          <a:r>
            <a:rPr lang="en-US" sz="700" b="1">
              <a:latin typeface="Segoe UI" panose="020B0502040204020203" pitchFamily="34" charset="0"/>
              <a:cs typeface="Segoe UI" panose="020B0502040204020203" pitchFamily="34" charset="0"/>
            </a:rPr>
            <a:t> </a:t>
          </a:r>
        </a:p>
      </xdr:txBody>
    </xdr:sp>
    <xdr:clientData/>
  </xdr:twoCellAnchor>
  <xdr:twoCellAnchor>
    <xdr:from>
      <xdr:col>2</xdr:col>
      <xdr:colOff>453864</xdr:colOff>
      <xdr:row>3</xdr:row>
      <xdr:rowOff>2533</xdr:rowOff>
    </xdr:from>
    <xdr:to>
      <xdr:col>4</xdr:col>
      <xdr:colOff>542764</xdr:colOff>
      <xdr:row>4</xdr:row>
      <xdr:rowOff>69208</xdr:rowOff>
    </xdr:to>
    <xdr:sp macro="" textlink="">
      <xdr:nvSpPr>
        <xdr:cNvPr id="8" name="TextBox 7">
          <a:extLst>
            <a:ext uri="{FF2B5EF4-FFF2-40B4-BE49-F238E27FC236}">
              <a16:creationId xmlns:a16="http://schemas.microsoft.com/office/drawing/2014/main" id="{6DE51330-4908-4035-ABC0-CF3230037019}"/>
            </a:ext>
          </a:extLst>
        </xdr:cNvPr>
        <xdr:cNvSpPr txBox="1"/>
      </xdr:nvSpPr>
      <xdr:spPr>
        <a:xfrm>
          <a:off x="1672551" y="323240"/>
          <a:ext cx="1307587" cy="227029"/>
        </a:xfrm>
        <a:prstGeom prst="rect">
          <a:avLst/>
        </a:prstGeom>
        <a:solidFill>
          <a:srgbClr val="B7E4C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700" b="1" i="0" u="none" strike="noStrike">
              <a:solidFill>
                <a:schemeClr val="dk1"/>
              </a:solidFill>
              <a:effectLst/>
              <a:latin typeface="Segoe UI" panose="020B0502040204020203" pitchFamily="34" charset="0"/>
              <a:ea typeface="+mn-ea"/>
              <a:cs typeface="Segoe UI" panose="020B0502040204020203" pitchFamily="34" charset="0"/>
            </a:rPr>
            <a:t>Avg Shopping Frequency</a:t>
          </a:r>
          <a:endParaRPr lang="en-US" sz="700" b="1">
            <a:latin typeface="Segoe UI" panose="020B0502040204020203" pitchFamily="34" charset="0"/>
            <a:cs typeface="Segoe UI" panose="020B0502040204020203" pitchFamily="34" charset="0"/>
          </a:endParaRPr>
        </a:p>
      </xdr:txBody>
    </xdr:sp>
    <xdr:clientData/>
  </xdr:twoCellAnchor>
  <xdr:twoCellAnchor>
    <xdr:from>
      <xdr:col>5</xdr:col>
      <xdr:colOff>79471</xdr:colOff>
      <xdr:row>3</xdr:row>
      <xdr:rowOff>2533</xdr:rowOff>
    </xdr:from>
    <xdr:to>
      <xdr:col>7</xdr:col>
      <xdr:colOff>79471</xdr:colOff>
      <xdr:row>4</xdr:row>
      <xdr:rowOff>75558</xdr:rowOff>
    </xdr:to>
    <xdr:sp macro="" textlink="">
      <xdr:nvSpPr>
        <xdr:cNvPr id="9" name="TextBox 8">
          <a:extLst>
            <a:ext uri="{FF2B5EF4-FFF2-40B4-BE49-F238E27FC236}">
              <a16:creationId xmlns:a16="http://schemas.microsoft.com/office/drawing/2014/main" id="{5BBAB206-1B73-4ABC-9594-A20AE66D4743}"/>
            </a:ext>
          </a:extLst>
        </xdr:cNvPr>
        <xdr:cNvSpPr txBox="1"/>
      </xdr:nvSpPr>
      <xdr:spPr>
        <a:xfrm>
          <a:off x="3126188" y="323240"/>
          <a:ext cx="1218687" cy="233379"/>
        </a:xfrm>
        <a:prstGeom prst="rect">
          <a:avLst/>
        </a:prstGeom>
        <a:solidFill>
          <a:srgbClr val="B7E4C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700" b="1" i="0" u="none" strike="noStrike">
              <a:solidFill>
                <a:schemeClr val="dk1"/>
              </a:solidFill>
              <a:effectLst/>
              <a:latin typeface="Segoe UI" panose="020B0502040204020203" pitchFamily="34" charset="0"/>
              <a:ea typeface="+mn-ea"/>
              <a:cs typeface="Segoe UI" panose="020B0502040204020203" pitchFamily="34" charset="0"/>
            </a:rPr>
            <a:t>Avg Monthly Spend</a:t>
          </a:r>
          <a:endParaRPr lang="en-US" sz="700" b="1">
            <a:latin typeface="Segoe UI" panose="020B0502040204020203" pitchFamily="34" charset="0"/>
            <a:cs typeface="Segoe UI" panose="020B0502040204020203" pitchFamily="34" charset="0"/>
          </a:endParaRPr>
        </a:p>
      </xdr:txBody>
    </xdr:sp>
    <xdr:clientData/>
  </xdr:twoCellAnchor>
  <xdr:twoCellAnchor>
    <xdr:from>
      <xdr:col>0</xdr:col>
      <xdr:colOff>228601</xdr:colOff>
      <xdr:row>6</xdr:row>
      <xdr:rowOff>146050</xdr:rowOff>
    </xdr:from>
    <xdr:to>
      <xdr:col>6</xdr:col>
      <xdr:colOff>171305</xdr:colOff>
      <xdr:row>18</xdr:row>
      <xdr:rowOff>88900</xdr:rowOff>
    </xdr:to>
    <xdr:sp macro="" textlink="">
      <xdr:nvSpPr>
        <xdr:cNvPr id="12" name="Rectangle: Rounded Corners 11">
          <a:extLst>
            <a:ext uri="{FF2B5EF4-FFF2-40B4-BE49-F238E27FC236}">
              <a16:creationId xmlns:a16="http://schemas.microsoft.com/office/drawing/2014/main" id="{362C81D1-6EB5-4117-AE28-D75E204D451E}"/>
            </a:ext>
          </a:extLst>
        </xdr:cNvPr>
        <xdr:cNvSpPr/>
      </xdr:nvSpPr>
      <xdr:spPr>
        <a:xfrm>
          <a:off x="228601" y="109855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222250</xdr:colOff>
      <xdr:row>7</xdr:row>
      <xdr:rowOff>50800</xdr:rowOff>
    </xdr:from>
    <xdr:to>
      <xdr:col>6</xdr:col>
      <xdr:colOff>127000</xdr:colOff>
      <xdr:row>18</xdr:row>
      <xdr:rowOff>101600</xdr:rowOff>
    </xdr:to>
    <xdr:graphicFrame macro="">
      <xdr:nvGraphicFramePr>
        <xdr:cNvPr id="10" name="Avg_Spent_Platform">
          <a:extLst>
            <a:ext uri="{FF2B5EF4-FFF2-40B4-BE49-F238E27FC236}">
              <a16:creationId xmlns:a16="http://schemas.microsoft.com/office/drawing/2014/main" id="{544F1838-5E7F-45F8-A437-45D5F302A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295276</xdr:colOff>
      <xdr:row>6</xdr:row>
      <xdr:rowOff>152400</xdr:rowOff>
    </xdr:from>
    <xdr:to>
      <xdr:col>12</xdr:col>
      <xdr:colOff>237980</xdr:colOff>
      <xdr:row>18</xdr:row>
      <xdr:rowOff>95250</xdr:rowOff>
    </xdr:to>
    <xdr:sp macro="" textlink="">
      <xdr:nvSpPr>
        <xdr:cNvPr id="13" name="Rectangle: Rounded Corners 12">
          <a:extLst>
            <a:ext uri="{FF2B5EF4-FFF2-40B4-BE49-F238E27FC236}">
              <a16:creationId xmlns:a16="http://schemas.microsoft.com/office/drawing/2014/main" id="{A941F407-3E12-4EB8-970C-D46AD83E728A}"/>
            </a:ext>
          </a:extLst>
        </xdr:cNvPr>
        <xdr:cNvSpPr/>
      </xdr:nvSpPr>
      <xdr:spPr>
        <a:xfrm>
          <a:off x="3952876" y="94615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361951</xdr:colOff>
      <xdr:row>7</xdr:row>
      <xdr:rowOff>0</xdr:rowOff>
    </xdr:from>
    <xdr:to>
      <xdr:col>18</xdr:col>
      <xdr:colOff>304655</xdr:colOff>
      <xdr:row>18</xdr:row>
      <xdr:rowOff>101600</xdr:rowOff>
    </xdr:to>
    <xdr:sp macro="" textlink="">
      <xdr:nvSpPr>
        <xdr:cNvPr id="15" name="Rectangle: Rounded Corners 14">
          <a:extLst>
            <a:ext uri="{FF2B5EF4-FFF2-40B4-BE49-F238E27FC236}">
              <a16:creationId xmlns:a16="http://schemas.microsoft.com/office/drawing/2014/main" id="{392C37A8-C7A6-4279-8432-F49F66E8BBD7}"/>
            </a:ext>
          </a:extLst>
        </xdr:cNvPr>
        <xdr:cNvSpPr/>
      </xdr:nvSpPr>
      <xdr:spPr>
        <a:xfrm>
          <a:off x="7677151" y="95250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241301</xdr:colOff>
      <xdr:row>19</xdr:row>
      <xdr:rowOff>12700</xdr:rowOff>
    </xdr:from>
    <xdr:to>
      <xdr:col>6</xdr:col>
      <xdr:colOff>184005</xdr:colOff>
      <xdr:row>30</xdr:row>
      <xdr:rowOff>114300</xdr:rowOff>
    </xdr:to>
    <xdr:sp macro="" textlink="">
      <xdr:nvSpPr>
        <xdr:cNvPr id="17" name="Rectangle: Rounded Corners 16">
          <a:extLst>
            <a:ext uri="{FF2B5EF4-FFF2-40B4-BE49-F238E27FC236}">
              <a16:creationId xmlns:a16="http://schemas.microsoft.com/office/drawing/2014/main" id="{7DE2892E-CCA9-4B2C-8C44-C99DCE05297B}"/>
            </a:ext>
          </a:extLst>
        </xdr:cNvPr>
        <xdr:cNvSpPr/>
      </xdr:nvSpPr>
      <xdr:spPr>
        <a:xfrm>
          <a:off x="241301" y="287020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307976</xdr:colOff>
      <xdr:row>19</xdr:row>
      <xdr:rowOff>19050</xdr:rowOff>
    </xdr:from>
    <xdr:to>
      <xdr:col>12</xdr:col>
      <xdr:colOff>250680</xdr:colOff>
      <xdr:row>30</xdr:row>
      <xdr:rowOff>120650</xdr:rowOff>
    </xdr:to>
    <xdr:sp macro="" textlink="">
      <xdr:nvSpPr>
        <xdr:cNvPr id="19" name="Rectangle: Rounded Corners 18">
          <a:extLst>
            <a:ext uri="{FF2B5EF4-FFF2-40B4-BE49-F238E27FC236}">
              <a16:creationId xmlns:a16="http://schemas.microsoft.com/office/drawing/2014/main" id="{13C7C2BF-FC8C-406C-A2E8-2CBABA49447F}"/>
            </a:ext>
          </a:extLst>
        </xdr:cNvPr>
        <xdr:cNvSpPr/>
      </xdr:nvSpPr>
      <xdr:spPr>
        <a:xfrm>
          <a:off x="3964037" y="2905414"/>
          <a:ext cx="3598764" cy="1865489"/>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374651</xdr:colOff>
      <xdr:row>19</xdr:row>
      <xdr:rowOff>25400</xdr:rowOff>
    </xdr:from>
    <xdr:to>
      <xdr:col>18</xdr:col>
      <xdr:colOff>317355</xdr:colOff>
      <xdr:row>30</xdr:row>
      <xdr:rowOff>127000</xdr:rowOff>
    </xdr:to>
    <xdr:sp macro="" textlink="">
      <xdr:nvSpPr>
        <xdr:cNvPr id="21" name="Rectangle: Rounded Corners 20">
          <a:extLst>
            <a:ext uri="{FF2B5EF4-FFF2-40B4-BE49-F238E27FC236}">
              <a16:creationId xmlns:a16="http://schemas.microsoft.com/office/drawing/2014/main" id="{E710F9A6-CCEE-4083-A2E7-B929B5B1F41B}"/>
            </a:ext>
          </a:extLst>
        </xdr:cNvPr>
        <xdr:cNvSpPr/>
      </xdr:nvSpPr>
      <xdr:spPr>
        <a:xfrm>
          <a:off x="7689851" y="2882900"/>
          <a:ext cx="3600304" cy="1847850"/>
        </a:xfrm>
        <a:prstGeom prst="roundRect">
          <a:avLst>
            <a:gd name="adj" fmla="val 3664"/>
          </a:avLst>
        </a:prstGeom>
        <a:solidFill>
          <a:schemeClr val="bg1"/>
        </a:solidFill>
        <a:ln>
          <a:noFill/>
        </a:ln>
        <a:effectLst>
          <a:outerShdw blurRad="50800" dist="38100" dir="2700000" algn="tl" rotWithShape="0">
            <a:srgbClr val="1B4332">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321862</xdr:colOff>
      <xdr:row>19</xdr:row>
      <xdr:rowOff>63370</xdr:rowOff>
    </xdr:from>
    <xdr:to>
      <xdr:col>6</xdr:col>
      <xdr:colOff>16805</xdr:colOff>
      <xdr:row>30</xdr:row>
      <xdr:rowOff>18920</xdr:rowOff>
    </xdr:to>
    <xdr:graphicFrame macro="">
      <xdr:nvGraphicFramePr>
        <xdr:cNvPr id="23" name="Chart 22">
          <a:extLst>
            <a:ext uri="{FF2B5EF4-FFF2-40B4-BE49-F238E27FC236}">
              <a16:creationId xmlns:a16="http://schemas.microsoft.com/office/drawing/2014/main" id="{BB0FC99C-7426-41EB-A74F-80CC30DB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425450</xdr:colOff>
      <xdr:row>7</xdr:row>
      <xdr:rowOff>57150</xdr:rowOff>
    </xdr:from>
    <xdr:to>
      <xdr:col>18</xdr:col>
      <xdr:colOff>190500</xdr:colOff>
      <xdr:row>18</xdr:row>
      <xdr:rowOff>63500</xdr:rowOff>
    </xdr:to>
    <xdr:graphicFrame macro="">
      <xdr:nvGraphicFramePr>
        <xdr:cNvPr id="27" name="Chart 26">
          <a:extLst>
            <a:ext uri="{FF2B5EF4-FFF2-40B4-BE49-F238E27FC236}">
              <a16:creationId xmlns:a16="http://schemas.microsoft.com/office/drawing/2014/main" id="{58EE9442-8B70-4984-BB1E-C9F86AD14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329174</xdr:colOff>
      <xdr:row>7</xdr:row>
      <xdr:rowOff>37587</xdr:rowOff>
    </xdr:from>
    <xdr:to>
      <xdr:col>11</xdr:col>
      <xdr:colOff>576568</xdr:colOff>
      <xdr:row>18</xdr:row>
      <xdr:rowOff>5837</xdr:rowOff>
    </xdr:to>
    <xdr:graphicFrame macro="">
      <xdr:nvGraphicFramePr>
        <xdr:cNvPr id="28" name="Chart 27">
          <a:extLst>
            <a:ext uri="{FF2B5EF4-FFF2-40B4-BE49-F238E27FC236}">
              <a16:creationId xmlns:a16="http://schemas.microsoft.com/office/drawing/2014/main" id="{50054A28-351E-400B-BE2B-AD6AB69DE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282222</xdr:colOff>
      <xdr:row>3</xdr:row>
      <xdr:rowOff>32071</xdr:rowOff>
    </xdr:from>
    <xdr:to>
      <xdr:col>10</xdr:col>
      <xdr:colOff>481061</xdr:colOff>
      <xdr:row>6</xdr:row>
      <xdr:rowOff>115454</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FC718176-0137-4302-803C-7928044905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547626" y="513132"/>
              <a:ext cx="2026869" cy="564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558031</xdr:colOff>
      <xdr:row>3</xdr:row>
      <xdr:rowOff>44899</xdr:rowOff>
    </xdr:from>
    <xdr:to>
      <xdr:col>14</xdr:col>
      <xdr:colOff>102626</xdr:colOff>
      <xdr:row>6</xdr:row>
      <xdr:rowOff>121869</xdr:rowOff>
    </xdr:to>
    <mc:AlternateContent xmlns:mc="http://schemas.openxmlformats.org/markup-compatibility/2006" xmlns:a14="http://schemas.microsoft.com/office/drawing/2010/main">
      <mc:Choice Requires="a14">
        <xdr:graphicFrame macro="">
          <xdr:nvGraphicFramePr>
            <xdr:cNvPr id="34" name="AGE RANGE">
              <a:extLst>
                <a:ext uri="{FF2B5EF4-FFF2-40B4-BE49-F238E27FC236}">
                  <a16:creationId xmlns:a16="http://schemas.microsoft.com/office/drawing/2014/main" id="{C32C3ABA-5E0D-4B9A-8612-2688D52536A3}"/>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6651465" y="525960"/>
              <a:ext cx="1981969" cy="558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166768</xdr:colOff>
      <xdr:row>3</xdr:row>
      <xdr:rowOff>35277</xdr:rowOff>
    </xdr:from>
    <xdr:to>
      <xdr:col>18</xdr:col>
      <xdr:colOff>295050</xdr:colOff>
      <xdr:row>6</xdr:row>
      <xdr:rowOff>134697</xdr:rowOff>
    </xdr:to>
    <mc:AlternateContent xmlns:mc="http://schemas.openxmlformats.org/markup-compatibility/2006" xmlns:a14="http://schemas.microsoft.com/office/drawing/2010/main">
      <mc:Choice Requires="a14">
        <xdr:graphicFrame macro="">
          <xdr:nvGraphicFramePr>
            <xdr:cNvPr id="35" name="MONTHLY SPEND CATEGORY">
              <a:extLst>
                <a:ext uri="{FF2B5EF4-FFF2-40B4-BE49-F238E27FC236}">
                  <a16:creationId xmlns:a16="http://schemas.microsoft.com/office/drawing/2014/main" id="{933E0F1D-2718-4E4A-AEAA-16D62D6ED556}"/>
                </a:ext>
              </a:extLst>
            </xdr:cNvPr>
            <xdr:cNvGraphicFramePr/>
          </xdr:nvGraphicFramePr>
          <xdr:xfrm>
            <a:off x="0" y="0"/>
            <a:ext cx="0" cy="0"/>
          </xdr:xfrm>
          <a:graphic>
            <a:graphicData uri="http://schemas.microsoft.com/office/drawing/2010/slicer">
              <sle:slicer xmlns:sle="http://schemas.microsoft.com/office/drawing/2010/slicer" name="MONTHLY SPEND CATEGORY"/>
            </a:graphicData>
          </a:graphic>
        </xdr:graphicFrame>
      </mc:Choice>
      <mc:Fallback xmlns="">
        <xdr:sp macro="" textlink="">
          <xdr:nvSpPr>
            <xdr:cNvPr id="0" name=""/>
            <xdr:cNvSpPr>
              <a:spLocks noTextEdit="1"/>
            </xdr:cNvSpPr>
          </xdr:nvSpPr>
          <xdr:spPr>
            <a:xfrm>
              <a:off x="8697576" y="516338"/>
              <a:ext cx="2565656" cy="580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83384</xdr:colOff>
      <xdr:row>1</xdr:row>
      <xdr:rowOff>89798</xdr:rowOff>
    </xdr:from>
    <xdr:to>
      <xdr:col>18</xdr:col>
      <xdr:colOff>288636</xdr:colOff>
      <xdr:row>3</xdr:row>
      <xdr:rowOff>6414</xdr:rowOff>
    </xdr:to>
    <xdr:sp macro="" textlink="">
      <xdr:nvSpPr>
        <xdr:cNvPr id="39" name="TextBox 38">
          <a:extLst>
            <a:ext uri="{FF2B5EF4-FFF2-40B4-BE49-F238E27FC236}">
              <a16:creationId xmlns:a16="http://schemas.microsoft.com/office/drawing/2014/main" id="{3344C607-2D19-422D-8881-2BFAB419E079}"/>
            </a:ext>
          </a:extLst>
        </xdr:cNvPr>
        <xdr:cNvSpPr txBox="1"/>
      </xdr:nvSpPr>
      <xdr:spPr>
        <a:xfrm>
          <a:off x="9832879" y="250152"/>
          <a:ext cx="1423939" cy="237323"/>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i="1">
              <a:solidFill>
                <a:schemeClr val="bg1"/>
              </a:solidFill>
              <a:latin typeface="Segoe UI" panose="020B0502040204020203" pitchFamily="34" charset="0"/>
              <a:cs typeface="Segoe UI" panose="020B0502040204020203" pitchFamily="34" charset="0"/>
            </a:rPr>
            <a:t>LearnWithWida Project</a:t>
          </a:r>
        </a:p>
      </xdr:txBody>
    </xdr:sp>
    <xdr:clientData/>
  </xdr:twoCellAnchor>
  <xdr:twoCellAnchor editAs="oneCell">
    <xdr:from>
      <xdr:col>15</xdr:col>
      <xdr:colOff>117315</xdr:colOff>
      <xdr:row>1</xdr:row>
      <xdr:rowOff>89350</xdr:rowOff>
    </xdr:from>
    <xdr:to>
      <xdr:col>16</xdr:col>
      <xdr:colOff>52479</xdr:colOff>
      <xdr:row>3</xdr:row>
      <xdr:rowOff>6414</xdr:rowOff>
    </xdr:to>
    <xdr:pic>
      <xdr:nvPicPr>
        <xdr:cNvPr id="41" name="Picture 40">
          <a:extLst>
            <a:ext uri="{FF2B5EF4-FFF2-40B4-BE49-F238E27FC236}">
              <a16:creationId xmlns:a16="http://schemas.microsoft.com/office/drawing/2014/main" id="{2B0D8B2B-51EA-445D-8F02-C6B8011AB75B}"/>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sharpenSoften amount="50000"/>
                  </a14:imgEffect>
                  <a14:imgEffect>
                    <a14:saturation sat="400000"/>
                  </a14:imgEffect>
                </a14:imgLayer>
              </a14:imgProps>
            </a:ext>
            <a:ext uri="{28A0092B-C50C-407E-A947-70E740481C1C}">
              <a14:useLocalDpi xmlns:a14="http://schemas.microsoft.com/office/drawing/2010/main" val="0"/>
            </a:ext>
          </a:extLst>
        </a:blip>
        <a:srcRect l="27104" t="38720" r="27441" b="39057"/>
        <a:stretch/>
      </xdr:blipFill>
      <xdr:spPr>
        <a:xfrm>
          <a:off x="9257467" y="249704"/>
          <a:ext cx="544507" cy="237771"/>
        </a:xfrm>
        <a:prstGeom prst="rect">
          <a:avLst/>
        </a:prstGeom>
      </xdr:spPr>
    </xdr:pic>
    <xdr:clientData/>
  </xdr:twoCellAnchor>
  <xdr:twoCellAnchor editAs="oneCell">
    <xdr:from>
      <xdr:col>0</xdr:col>
      <xdr:colOff>481060</xdr:colOff>
      <xdr:row>4</xdr:row>
      <xdr:rowOff>76971</xdr:rowOff>
    </xdr:from>
    <xdr:to>
      <xdr:col>1</xdr:col>
      <xdr:colOff>147526</xdr:colOff>
      <xdr:row>6</xdr:row>
      <xdr:rowOff>32073</xdr:rowOff>
    </xdr:to>
    <xdr:pic>
      <xdr:nvPicPr>
        <xdr:cNvPr id="11" name="Graphic 10" descr="Marketing with solid fill">
          <a:extLst>
            <a:ext uri="{FF2B5EF4-FFF2-40B4-BE49-F238E27FC236}">
              <a16:creationId xmlns:a16="http://schemas.microsoft.com/office/drawing/2014/main" id="{BCA62F69-1C64-4211-A5BC-2FE8A43E7F4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81060" y="718385"/>
          <a:ext cx="275809" cy="275809"/>
        </a:xfrm>
        <a:prstGeom prst="rect">
          <a:avLst/>
        </a:prstGeom>
      </xdr:spPr>
    </xdr:pic>
    <xdr:clientData/>
  </xdr:twoCellAnchor>
  <xdr:twoCellAnchor editAs="oneCell">
    <xdr:from>
      <xdr:col>3</xdr:col>
      <xdr:colOff>96213</xdr:colOff>
      <xdr:row>4</xdr:row>
      <xdr:rowOff>115454</xdr:rowOff>
    </xdr:from>
    <xdr:to>
      <xdr:col>3</xdr:col>
      <xdr:colOff>339950</xdr:colOff>
      <xdr:row>6</xdr:row>
      <xdr:rowOff>38484</xdr:rowOff>
    </xdr:to>
    <xdr:pic>
      <xdr:nvPicPr>
        <xdr:cNvPr id="20" name="Graphic 19" descr="Stopwatch with solid fill">
          <a:extLst>
            <a:ext uri="{FF2B5EF4-FFF2-40B4-BE49-F238E27FC236}">
              <a16:creationId xmlns:a16="http://schemas.microsoft.com/office/drawing/2014/main" id="{5FB480E3-87AB-4E39-930E-EF9565C03B6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924243" y="756868"/>
          <a:ext cx="243737" cy="243737"/>
        </a:xfrm>
        <a:prstGeom prst="rect">
          <a:avLst/>
        </a:prstGeom>
      </xdr:spPr>
    </xdr:pic>
    <xdr:clientData/>
  </xdr:twoCellAnchor>
  <xdr:twoCellAnchor editAs="oneCell">
    <xdr:from>
      <xdr:col>5</xdr:col>
      <xdr:colOff>128283</xdr:colOff>
      <xdr:row>4</xdr:row>
      <xdr:rowOff>115455</xdr:rowOff>
    </xdr:from>
    <xdr:to>
      <xdr:col>5</xdr:col>
      <xdr:colOff>346364</xdr:colOff>
      <xdr:row>6</xdr:row>
      <xdr:rowOff>12829</xdr:rowOff>
    </xdr:to>
    <xdr:pic>
      <xdr:nvPicPr>
        <xdr:cNvPr id="24" name="Graphic 23" descr="Money with solid fill">
          <a:extLst>
            <a:ext uri="{FF2B5EF4-FFF2-40B4-BE49-F238E27FC236}">
              <a16:creationId xmlns:a16="http://schemas.microsoft.com/office/drawing/2014/main" id="{6BEF87D5-78F2-45C1-BCDD-86DD6735B0A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175000" y="756869"/>
          <a:ext cx="218081" cy="218081"/>
        </a:xfrm>
        <a:prstGeom prst="rect">
          <a:avLst/>
        </a:prstGeom>
      </xdr:spPr>
    </xdr:pic>
    <xdr:clientData/>
  </xdr:twoCellAnchor>
  <xdr:twoCellAnchor editAs="oneCell">
    <xdr:from>
      <xdr:col>4</xdr:col>
      <xdr:colOff>224496</xdr:colOff>
      <xdr:row>0</xdr:row>
      <xdr:rowOff>6414</xdr:rowOff>
    </xdr:from>
    <xdr:to>
      <xdr:col>5</xdr:col>
      <xdr:colOff>407121</xdr:colOff>
      <xdr:row>4</xdr:row>
      <xdr:rowOff>1</xdr:rowOff>
    </xdr:to>
    <xdr:pic>
      <xdr:nvPicPr>
        <xdr:cNvPr id="31" name="Picture 30">
          <a:extLst>
            <a:ext uri="{FF2B5EF4-FFF2-40B4-BE49-F238E27FC236}">
              <a16:creationId xmlns:a16="http://schemas.microsoft.com/office/drawing/2014/main" id="{836DF8C7-074F-4390-AC8D-E1617984E771}"/>
            </a:ext>
          </a:extLst>
        </xdr:cNvPr>
        <xdr:cNvPicPr>
          <a:picLocks noChangeAspect="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backgroundRemoval t="15231" b="58646" l="20996" r="75142"/>
                  </a14:imgEffect>
                </a14:imgLayer>
              </a14:imgProps>
            </a:ext>
            <a:ext uri="{28A0092B-C50C-407E-A947-70E740481C1C}">
              <a14:useLocalDpi xmlns:a14="http://schemas.microsoft.com/office/drawing/2010/main" val="0"/>
            </a:ext>
          </a:extLst>
        </a:blip>
        <a:srcRect l="14228" t="9804" r="18090" b="35928"/>
        <a:stretch/>
      </xdr:blipFill>
      <xdr:spPr>
        <a:xfrm>
          <a:off x="2661870" y="6414"/>
          <a:ext cx="791968" cy="635001"/>
        </a:xfrm>
        <a:prstGeom prst="rect">
          <a:avLst/>
        </a:prstGeom>
      </xdr:spPr>
    </xdr:pic>
    <xdr:clientData/>
  </xdr:twoCellAnchor>
  <xdr:twoCellAnchor>
    <xdr:from>
      <xdr:col>12</xdr:col>
      <xdr:colOff>448990</xdr:colOff>
      <xdr:row>19</xdr:row>
      <xdr:rowOff>128283</xdr:rowOff>
    </xdr:from>
    <xdr:to>
      <xdr:col>18</xdr:col>
      <xdr:colOff>237323</xdr:colOff>
      <xdr:row>30</xdr:row>
      <xdr:rowOff>91112</xdr:rowOff>
    </xdr:to>
    <xdr:graphicFrame macro="">
      <xdr:nvGraphicFramePr>
        <xdr:cNvPr id="38" name="Chart 37">
          <a:extLst>
            <a:ext uri="{FF2B5EF4-FFF2-40B4-BE49-F238E27FC236}">
              <a16:creationId xmlns:a16="http://schemas.microsoft.com/office/drawing/2014/main" id="{6C9F209F-AF24-4376-AC23-E6D3C2811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115455</xdr:colOff>
      <xdr:row>0</xdr:row>
      <xdr:rowOff>70556</xdr:rowOff>
    </xdr:from>
    <xdr:to>
      <xdr:col>18</xdr:col>
      <xdr:colOff>468232</xdr:colOff>
      <xdr:row>31</xdr:row>
      <xdr:rowOff>76969</xdr:rowOff>
    </xdr:to>
    <xdr:sp macro="" textlink="">
      <xdr:nvSpPr>
        <xdr:cNvPr id="37" name="Rectangle 36">
          <a:extLst>
            <a:ext uri="{FF2B5EF4-FFF2-40B4-BE49-F238E27FC236}">
              <a16:creationId xmlns:a16="http://schemas.microsoft.com/office/drawing/2014/main" id="{A4F7C84E-B68E-4EB6-92BC-406AD4DBFA58}"/>
            </a:ext>
          </a:extLst>
        </xdr:cNvPr>
        <xdr:cNvSpPr/>
      </xdr:nvSpPr>
      <xdr:spPr>
        <a:xfrm>
          <a:off x="115455" y="70556"/>
          <a:ext cx="11320959" cy="49773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419100</xdr:colOff>
      <xdr:row>19</xdr:row>
      <xdr:rowOff>31750</xdr:rowOff>
    </xdr:from>
    <xdr:to>
      <xdr:col>12</xdr:col>
      <xdr:colOff>127000</xdr:colOff>
      <xdr:row>30</xdr:row>
      <xdr:rowOff>88900</xdr:rowOff>
    </xdr:to>
    <xdr:graphicFrame macro="">
      <xdr:nvGraphicFramePr>
        <xdr:cNvPr id="32" name="Chart 31">
          <a:extLst>
            <a:ext uri="{FF2B5EF4-FFF2-40B4-BE49-F238E27FC236}">
              <a16:creationId xmlns:a16="http://schemas.microsoft.com/office/drawing/2014/main" id="{440CB005-C9BB-4262-A198-9EF62862D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31053703703" backgroundQuery="1" createdVersion="7" refreshedVersion="7" minRefreshableVersion="3" recordCount="0" supportSubquery="1" supportAdvancedDrill="1" xr:uid="{EA72C29B-0257-44FD-812B-C58B9453010C}">
  <cacheSource type="external" connectionId="1"/>
  <cacheFields count="2">
    <cacheField name="[Buying_Behaviour].[LOCATION].[LOCATION]" caption="LOCATION" numFmtId="0" hierarchy="3" level="1">
      <sharedItems count="15">
        <s v="Anambra"/>
        <s v="Bayelsa"/>
        <s v="Benin"/>
        <s v="Enugu"/>
        <s v="FCT"/>
        <s v="Imo"/>
        <s v="Kaduna"/>
        <s v="Kano"/>
        <s v="Kwara"/>
        <s v="Lagos"/>
        <s v="Ogun"/>
        <s v="Ondo"/>
        <s v="Osun"/>
        <s v="Oyo"/>
        <s v="Rivers"/>
      </sharedItems>
    </cacheField>
    <cacheField name="[Measures].[Count of LOCATION]" caption="Count of LOCATION" numFmtId="0" hierarchy="25" level="32767"/>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2" memberValueDatatype="130" unbalanced="0">
      <fieldsUsage count="2">
        <fieldUsage x="-1"/>
        <fieldUsage x="0"/>
      </fieldsUsage>
    </cacheHierarchy>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2129626" backgroundQuery="1" createdVersion="7" refreshedVersion="7" minRefreshableVersion="3" recordCount="0" supportSubquery="1" supportAdvancedDrill="1" xr:uid="{59D5A47E-7341-4B88-B5F3-5A21D38EBDC0}">
  <cacheSource type="external" connectionId="1"/>
  <cacheFields count="3">
    <cacheField name="[Buying_Behaviour].[SHOPPING PLATFORMS].[SHOPPING PLATFORMS]" caption="SHOPPING PLATFORMS" numFmtId="0" hierarchy="8" level="1">
      <sharedItems count="5">
        <s v="Instagram"/>
        <s v="Jumia"/>
        <s v="Others"/>
        <s v="Physical Store"/>
        <s v="WhatsApp"/>
      </sharedItems>
    </cacheField>
    <cacheField name="[Measures].[Average of AVERAGE SPEND MONTHLY]" caption="Average of AVERAGE SPEND MONTHLY" numFmtId="0" hierarchy="16"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2" memberValueDatatype="130" unbalanced="0">
      <fieldsUsage count="2">
        <fieldUsage x="-1"/>
        <fieldUsage x="0"/>
      </fieldsUsage>
    </cacheHierarchy>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1203703" backgroundQuery="1" createdVersion="7" refreshedVersion="7" minRefreshableVersion="3" recordCount="0" supportSubquery="1" supportAdvancedDrill="1" xr:uid="{12F400FF-4AFB-406D-B291-A370E2B067CB}">
  <cacheSource type="external" connectionId="1"/>
  <cacheFields count="3">
    <cacheField name="[Buying_Behaviour].[MONTHLY SPEND CATEGORY].[MONTHLY SPEND CATEGORY]" caption="MONTHLY SPEND CATEGORY" numFmtId="0" hierarchy="7" level="1">
      <sharedItems count="3">
        <s v="High"/>
        <s v="Low"/>
        <s v="Medium"/>
      </sharedItems>
    </cacheField>
    <cacheField name="[Measures].[Average of AVERAGE SPEND MONTHLY]" caption="Average of AVERAGE SPEND MONTHLY" numFmtId="0" hierarchy="16"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2" memberValueDatatype="130" unbalanced="0">
      <fieldsUsage count="2">
        <fieldUsage x="-1"/>
        <fieldUsage x="0"/>
      </fieldsUsage>
    </cacheHierarchy>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6643521" backgroundQuery="1" createdVersion="7" refreshedVersion="7" minRefreshableVersion="3" recordCount="0" supportSubquery="1" supportAdvancedDrill="1" xr:uid="{D19C1ACE-26F1-49DA-AA30-13450F3A171F}">
  <cacheSource type="external" connectionId="1"/>
  <cacheFields count="3">
    <cacheField name="[Buying_Behaviour].[AGE RANGE].[AGE RANGE]" caption="AGE RANGE" numFmtId="0" hierarchy="2" level="1">
      <sharedItems count="3">
        <s v="18-25"/>
        <s v="26-35"/>
        <s v="36-45"/>
      </sharedItems>
    </cacheField>
    <cacheField name="[Measures].[Count of AGE RANGE]" caption="Count of AGE RANGE" numFmtId="0" hierarchy="20"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2" memberValueDatatype="130" unbalanced="0">
      <fieldsUsage count="2">
        <fieldUsage x="-1"/>
        <fieldUsage x="0"/>
      </fieldsUsage>
    </cacheHierarchy>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7685184" backgroundQuery="1" createdVersion="7" refreshedVersion="7" minRefreshableVersion="3" recordCount="0" supportSubquery="1" supportAdvancedDrill="1" xr:uid="{D4FDC9AA-3935-4334-9B17-68C7D142A4E4}">
  <cacheSource type="external" connectionId="1"/>
  <cacheFields count="4">
    <cacheField name="[Buying_Behaviour].[AGE RANGE].[AGE RANGE]" caption="AGE RANGE" numFmtId="0" hierarchy="2" level="1">
      <sharedItems count="3">
        <s v="18-25"/>
        <s v="26-35"/>
        <s v="36-45"/>
      </sharedItems>
    </cacheField>
    <cacheField name="[Buying_Behaviour].[PRODUCT BOUGHT FREQUENTLY].[PRODUCT BOUGHT FREQUENTLY]" caption="PRODUCT BOUGHT FREQUENTLY" numFmtId="0" hierarchy="11" level="1">
      <sharedItems count="5">
        <s v="Beauty"/>
        <s v="Electronics"/>
        <s v="Fashion"/>
        <s v="Food"/>
        <s v="Groceries"/>
      </sharedItems>
    </cacheField>
    <cacheField name="[Measures].[Count of AGE RANGE]" caption="Count of AGE RANGE" numFmtId="0" hierarchy="20"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3"/>
      </fieldsUsage>
    </cacheHierarchy>
    <cacheHierarchy uniqueName="[Buying_Behaviour].[AGE RANGE]" caption="AGE RANGE" attribute="1" defaultMemberUniqueName="[Buying_Behaviour].[AGE RANGE].[All]" allUniqueName="[Buying_Behaviour].[AGE RANGE].[All]" dimensionUniqueName="[Buying_Behaviour]" displayFolder="" count="2" memberValueDatatype="130" unbalanced="0">
      <fieldsUsage count="2">
        <fieldUsage x="-1"/>
        <fieldUsage x="0"/>
      </fieldsUsage>
    </cacheHierarchy>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2" memberValueDatatype="130" unbalanced="0">
      <fieldsUsage count="2">
        <fieldUsage x="-1"/>
        <fieldUsage x="1"/>
      </fieldsUsage>
    </cacheHierarchy>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39236109" backgroundQuery="1" createdVersion="7" refreshedVersion="7" minRefreshableVersion="3" recordCount="0" supportSubquery="1" supportAdvancedDrill="1" xr:uid="{92C40395-29E7-4732-A4FB-9CF91BB35508}">
  <cacheSource type="external" connectionId="1"/>
  <cacheFields count="2">
    <cacheField name="[Buying_Behaviour].[GENDER].[GENDER]" caption="GENDER" numFmtId="0" hierarchy="1" level="1">
      <sharedItems count="2">
        <s v="Female"/>
        <s v="Male"/>
      </sharedItems>
    </cacheField>
    <cacheField name="[Measures].[Count of GENDER]" caption="Count of GENDER" numFmtId="0" hierarchy="19" level="32767"/>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0"/>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51273148" backgroundQuery="1" createdVersion="7" refreshedVersion="7" minRefreshableVersion="3" recordCount="0" supportSubquery="1" supportAdvancedDrill="1" xr:uid="{CAEC5DE5-D246-46FB-A11B-6AA2523AFE54}">
  <cacheSource type="external" connectionId="1"/>
  <cacheFields count="2">
    <cacheField name="[Measures].[Average of AVERAGE SPEND MONTHLY]" caption="Average of AVERAGE SPEND MONTHLY" numFmtId="0" hierarchy="16"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1"/>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8726854" backgroundQuery="1" createdVersion="7" refreshedVersion="7" minRefreshableVersion="3" recordCount="0" supportSubquery="1" supportAdvancedDrill="1" xr:uid="{41F9698F-1826-458A-8B89-221976308BC0}">
  <cacheSource type="external" connectionId="1"/>
  <cacheFields count="4">
    <cacheField name="[Buying_Behaviour].[MONTHLY SPEND CATEGORY].[MONTHLY SPEND CATEGORY]" caption="MONTHLY SPEND CATEGORY" numFmtId="0" hierarchy="7" level="1">
      <sharedItems count="3">
        <s v="High"/>
        <s v="Low"/>
        <s v="Medium"/>
      </sharedItems>
    </cacheField>
    <cacheField name="[Buying_Behaviour].[PREFERRED PAYMENT METHODS].[PREFERRED PAYMENT METHODS]" caption="PREFERRED PAYMENT METHODS" numFmtId="0" hierarchy="9" level="1">
      <sharedItems count="4">
        <s v="Card"/>
        <s v="Cash"/>
        <s v="Transfer"/>
        <s v="Wallet"/>
      </sharedItems>
    </cacheField>
    <cacheField name="[Measures].[Count of MONTHLY SPEND CATEGORY]" caption="Count of MONTHLY SPEND CATEGORY" numFmtId="0" hierarchy="17"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3"/>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2" memberValueDatatype="130" unbalanced="0">
      <fieldsUsage count="2">
        <fieldUsage x="-1"/>
        <fieldUsage x="0"/>
      </fieldsUsage>
    </cacheHierarchy>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2" memberValueDatatype="130" unbalanced="0">
      <fieldsUsage count="2">
        <fieldUsage x="-1"/>
        <fieldUsage x="1"/>
      </fieldsUsage>
    </cacheHierarchy>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50578701" backgroundQuery="1" createdVersion="7" refreshedVersion="7" minRefreshableVersion="3" recordCount="0" supportSubquery="1" supportAdvancedDrill="1" xr:uid="{9702E24A-D34D-45F3-AE69-56F025DE6764}">
  <cacheSource type="external" connectionId="1"/>
  <cacheFields count="2">
    <cacheField name="[Measures].[Average of SHOPPING FREQUENCY (MONTHLY)]" caption="Average of SHOPPING FREQUENCY (MONTHLY)" numFmtId="0" hierarchy="24"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1"/>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0277779" backgroundQuery="1" createdVersion="7" refreshedVersion="7" minRefreshableVersion="3" recordCount="0" supportSubquery="1" supportAdvancedDrill="1" xr:uid="{0F4F386E-A22E-43BB-8918-0EFC41C4386C}">
  <cacheSource type="external" connectionId="1"/>
  <cacheFields count="3">
    <cacheField name="[Buying_Behaviour].[PREFERRED PAYMENT METHODS].[PREFERRED PAYMENT METHODS]" caption="PREFERRED PAYMENT METHODS" numFmtId="0" hierarchy="9" level="1">
      <sharedItems count="4">
        <s v="Card"/>
        <s v="Cash"/>
        <s v="Transfer"/>
        <s v="Wallet"/>
      </sharedItems>
    </cacheField>
    <cacheField name="[Measures].[Count of PREFERRED PAYMENT METHODS]" caption="Count of PREFERRED PAYMENT METHODS" numFmtId="0" hierarchy="14"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2"/>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2" memberValueDatatype="130" unbalanced="0">
      <fieldsUsage count="2">
        <fieldUsage x="-1"/>
        <fieldUsage x="0"/>
      </fieldsUsage>
    </cacheHierarchy>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571759" backgroundQuery="1" createdVersion="7" refreshedVersion="7" minRefreshableVersion="3" recordCount="0" supportSubquery="1" supportAdvancedDrill="1" xr:uid="{F532D9A7-CC8A-433D-A25B-ACFD07CCEFA0}">
  <cacheSource type="external" connectionId="1"/>
  <cacheFields count="4">
    <cacheField name="[Buying_Behaviour].[SHOPPING PLATFORMS].[SHOPPING PLATFORMS]" caption="SHOPPING PLATFORMS" numFmtId="0" hierarchy="8" level="1">
      <sharedItems count="5">
        <s v="Instagram"/>
        <s v="Jumia"/>
        <s v="Others"/>
        <s v="Physical Store"/>
        <s v="WhatsApp"/>
      </sharedItems>
    </cacheField>
    <cacheField name="[Buying_Behaviour].[PRODUCT BOUGHT FREQUENTLY].[PRODUCT BOUGHT FREQUENTLY]" caption="PRODUCT BOUGHT FREQUENTLY" numFmtId="0" hierarchy="11" level="1">
      <sharedItems count="5">
        <s v="Beauty"/>
        <s v="Electronics"/>
        <s v="Fashion"/>
        <s v="Food"/>
        <s v="Groceries"/>
      </sharedItems>
    </cacheField>
    <cacheField name="[Measures].[Count of AVERAGE SPEND MONTHLY]" caption="Count of AVERAGE SPEND MONTHLY" numFmtId="0" hierarchy="18" level="32767"/>
    <cacheField name="[Buying_Behaviour].[GENDER].[GENDER]" caption="GENDER" numFmtId="0" hierarchy="1" level="1">
      <sharedItems count="2">
        <s v="Female"/>
        <s v="Male"/>
      </sharedItems>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3"/>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2" memberValueDatatype="130" unbalanced="0">
      <fieldsUsage count="2">
        <fieldUsage x="-1"/>
        <fieldUsage x="0"/>
      </fieldsUsage>
    </cacheHierarchy>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2" memberValueDatatype="130" unbalanced="0">
      <fieldsUsage count="2">
        <fieldUsage x="-1"/>
        <fieldUsage x="1"/>
      </fieldsUsage>
    </cacheHierarchy>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28749537039" backgroundQuery="1" createdVersion="7" refreshedVersion="7" minRefreshableVersion="3" recordCount="0" supportSubquery="1" supportAdvancedDrill="1" xr:uid="{87594E84-1665-4255-A1FF-5FF6FE5923A0}">
  <cacheSource type="external" connectionId="1"/>
  <cacheFields count="2">
    <cacheField name="[Measures].[Count of S/N]" caption="Count of S/N" numFmtId="0" hierarchy="22" level="32767"/>
    <cacheField name="[Buying_Behaviour].[GENDER].[GENDER]" caption="GENDER" numFmtId="0" hierarchy="1" level="1">
      <sharedItems containsSemiMixedTypes="0" containsNonDate="0" containsString="0"/>
    </cacheField>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fieldsUsage count="2">
        <fieldUsage x="-1"/>
        <fieldUsage x="1"/>
      </fieldsUsage>
    </cacheHierarchy>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hidden="1">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9.344656134257" backgroundQuery="1" createdVersion="7" refreshedVersion="7" minRefreshableVersion="3" recordCount="0" supportSubquery="1" supportAdvancedDrill="1" xr:uid="{B304D1F1-B2D8-407A-AFAF-7E8FABF6617C}">
  <cacheSource type="external" connectionId="1"/>
  <cacheFields count="2">
    <cacheField name="[Buying_Behaviour].[BUYING DECISION INFLUENCE].[BUYING DECISION INFLUENCE]" caption="BUYING DECISION INFLUENCE" numFmtId="0" hierarchy="10" level="1">
      <sharedItems count="5">
        <s v="Ads"/>
        <s v="Discounts"/>
        <s v="Friends"/>
        <s v="Influencers"/>
        <s v="Quality"/>
      </sharedItems>
    </cacheField>
    <cacheField name="[Measures].[Count of BUYING DECISION INFLUENCE]" caption="Count of BUYING DECISION INFLUENCE" numFmtId="0" hierarchy="26" level="32767"/>
  </cacheFields>
  <cacheHierarchies count="27">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2" memberValueDatatype="130" unbalanced="0"/>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2" memberValueDatatype="130" unbalanced="0">
      <fieldsUsage count="2">
        <fieldUsage x="-1"/>
        <fieldUsage x="0"/>
      </fieldsUsage>
    </cacheHierarchy>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y uniqueName="[Measures].[Sum of S/N]" caption="Sum of S/N" measure="1" displayFolder="" measureGroup="Buying_Behaviour" count="0" hidden="1">
      <extLst>
        <ext xmlns:x15="http://schemas.microsoft.com/office/spreadsheetml/2010/11/main" uri="{B97F6D7D-B522-45F9-BDA1-12C45D357490}">
          <x15:cacheHierarchy aggregatedColumn="0"/>
        </ext>
      </extLst>
    </cacheHierarchy>
    <cacheHierarchy uniqueName="[Measures].[Count of S/N]" caption="Count of S/N" measure="1" displayFolder="" measureGroup="Buying_Behaviour" count="0" hidden="1">
      <extLst>
        <ext xmlns:x15="http://schemas.microsoft.com/office/spreadsheetml/2010/11/main" uri="{B97F6D7D-B522-45F9-BDA1-12C45D357490}">
          <x15:cacheHierarchy aggregatedColumn="0"/>
        </ext>
      </extLst>
    </cacheHierarchy>
    <cacheHierarchy uniqueName="[Measures].[Sum of SHOPPING FREQUENCY (MONTHLY)]" caption="Sum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Average of SHOPPING FREQUENCY (MONTHLY)]" caption="Average of SHOPPING FREQUENCY (MONTHLY)" measure="1" displayFolder="" measureGroup="Buying_Behaviour" count="0" hidden="1">
      <extLst>
        <ext xmlns:x15="http://schemas.microsoft.com/office/spreadsheetml/2010/11/main" uri="{B97F6D7D-B522-45F9-BDA1-12C45D357490}">
          <x15:cacheHierarchy aggregatedColumn="4"/>
        </ext>
      </extLst>
    </cacheHierarchy>
    <cacheHierarchy uniqueName="[Measures].[Count of LOCATION]" caption="Count of LOCATION" measure="1" displayFolder="" measureGroup="Buying_Behaviour" count="0" hidden="1">
      <extLst>
        <ext xmlns:x15="http://schemas.microsoft.com/office/spreadsheetml/2010/11/main" uri="{B97F6D7D-B522-45F9-BDA1-12C45D357490}">
          <x15:cacheHierarchy aggregatedColumn="3"/>
        </ext>
      </extLst>
    </cacheHierarchy>
    <cacheHierarchy uniqueName="[Measures].[Count of BUYING DECISION INFLUENCE]" caption="Count of BUYING DECISION INFLUENCE" measure="1" displayFolder="" measureGroup="Buying_Behaviour"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68.623762268522" backgroundQuery="1" createdVersion="3" refreshedVersion="7" minRefreshableVersion="3" recordCount="0" supportSubquery="1" supportAdvancedDrill="1" xr:uid="{1F9E00A9-5190-4EE7-AD12-CCB6B58496AD}">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Buying_Behaviour].[S/N]" caption="S/N" attribute="1" defaultMemberUniqueName="[Buying_Behaviour].[S/N].[All]" allUniqueName="[Buying_Behaviour].[S/N].[All]" dimensionUniqueName="[Buying_Behaviour]" displayFolder="" count="0" memberValueDatatype="20" unbalanced="0"/>
    <cacheHierarchy uniqueName="[Buying_Behaviour].[GENDER]" caption="GENDER" attribute="1" defaultMemberUniqueName="[Buying_Behaviour].[GENDER].[All]" allUniqueName="[Buying_Behaviour].[GENDER].[All]" dimensionUniqueName="[Buying_Behaviour]" displayFolder="" count="0" memberValueDatatype="130" unbalanced="0"/>
    <cacheHierarchy uniqueName="[Buying_Behaviour].[AGE RANGE]" caption="AGE RANGE" attribute="1" defaultMemberUniqueName="[Buying_Behaviour].[AGE RANGE].[All]" allUniqueName="[Buying_Behaviour].[AGE RANGE].[All]" dimensionUniqueName="[Buying_Behaviour]" displayFolder="" count="0" memberValueDatatype="130" unbalanced="0"/>
    <cacheHierarchy uniqueName="[Buying_Behaviour].[LOCATION]" caption="LOCATION" attribute="1" defaultMemberUniqueName="[Buying_Behaviour].[LOCATION].[All]" allUniqueName="[Buying_Behaviour].[LOCATION].[All]" dimensionUniqueName="[Buying_Behaviour]" displayFolder="" count="0" memberValueDatatype="130" unbalanced="0"/>
    <cacheHierarchy uniqueName="[Buying_Behaviour].[SHOPPING FREQUENCY (MONTHLY)]" caption="SHOPPING FREQUENCY (MONTHLY)" attribute="1" defaultMemberUniqueName="[Buying_Behaviour].[SHOPPING FREQUENCY (MONTHLY)].[All]" allUniqueName="[Buying_Behaviour].[SHOPPING FREQUENCY (MONTHLY)].[All]" dimensionUniqueName="[Buying_Behaviour]" displayFolder="" count="0" memberValueDatatype="20" unbalanced="0"/>
    <cacheHierarchy uniqueName="[Buying_Behaviour].[ACTIVE SHOPPER]" caption="ACTIVE SHOPPER" attribute="1" defaultMemberUniqueName="[Buying_Behaviour].[ACTIVE SHOPPER].[All]" allUniqueName="[Buying_Behaviour].[ACTIVE SHOPPER].[All]" dimensionUniqueName="[Buying_Behaviour]" displayFolder="" count="0" memberValueDatatype="130" unbalanced="0"/>
    <cacheHierarchy uniqueName="[Buying_Behaviour].[AVERAGE SPEND MONTHLY]" caption="AVERAGE SPEND MONTHLY" attribute="1" defaultMemberUniqueName="[Buying_Behaviour].[AVERAGE SPEND MONTHLY].[All]" allUniqueName="[Buying_Behaviour].[AVERAGE SPEND MONTHLY].[All]" dimensionUniqueName="[Buying_Behaviour]" displayFolder="" count="0" memberValueDatatype="20" unbalanced="0"/>
    <cacheHierarchy uniqueName="[Buying_Behaviour].[MONTHLY SPEND CATEGORY]" caption="MONTHLY SPEND CATEGORY" attribute="1" defaultMemberUniqueName="[Buying_Behaviour].[MONTHLY SPEND CATEGORY].[All]" allUniqueName="[Buying_Behaviour].[MONTHLY SPEND CATEGORY].[All]" dimensionUniqueName="[Buying_Behaviour]" displayFolder="" count="0" memberValueDatatype="130" unbalanced="0"/>
    <cacheHierarchy uniqueName="[Buying_Behaviour].[SHOPPING PLATFORMS]" caption="SHOPPING PLATFORMS" attribute="1" defaultMemberUniqueName="[Buying_Behaviour].[SHOPPING PLATFORMS].[All]" allUniqueName="[Buying_Behaviour].[SHOPPING PLATFORMS].[All]" dimensionUniqueName="[Buying_Behaviour]" displayFolder="" count="0" memberValueDatatype="130" unbalanced="0"/>
    <cacheHierarchy uniqueName="[Buying_Behaviour].[PREFERRED PAYMENT METHODS]" caption="PREFERRED PAYMENT METHODS" attribute="1" defaultMemberUniqueName="[Buying_Behaviour].[PREFERRED PAYMENT METHODS].[All]" allUniqueName="[Buying_Behaviour].[PREFERRED PAYMENT METHODS].[All]" dimensionUniqueName="[Buying_Behaviour]" displayFolder="" count="0" memberValueDatatype="130" unbalanced="0"/>
    <cacheHierarchy uniqueName="[Buying_Behaviour].[BUYING DECISION INFLUENCE]" caption="BUYING DECISION INFLUENCE" attribute="1" defaultMemberUniqueName="[Buying_Behaviour].[BUYING DECISION INFLUENCE].[All]" allUniqueName="[Buying_Behaviour].[BUYING DECISION INFLUENCE].[All]" dimensionUniqueName="[Buying_Behaviour]" displayFolder="" count="0" memberValueDatatype="130" unbalanced="0"/>
    <cacheHierarchy uniqueName="[Buying_Behaviour].[PRODUCT BOUGHT FREQUENTLY]" caption="PRODUCT BOUGHT FREQUENTLY" attribute="1" defaultMemberUniqueName="[Buying_Behaviour].[PRODUCT BOUGHT FREQUENTLY].[All]" allUniqueName="[Buying_Behaviour].[PRODUCT BOUGHT FREQUENTLY].[All]" dimensionUniqueName="[Buying_Behaviour]" displayFolder="" count="0" memberValueDatatype="130" unbalanced="0"/>
    <cacheHierarchy uniqueName="[Measures].[__XL_Count Buying_Behaviour]" caption="__XL_Count Buying_Behaviour" measure="1" displayFolder="" measureGroup="Buying_Behaviour" count="0" hidden="1"/>
    <cacheHierarchy uniqueName="[Measures].[__No measures defined]" caption="__No measures defined" measure="1" displayFolder="" count="0" hidden="1"/>
    <cacheHierarchy uniqueName="[Measures].[Count of PREFERRED PAYMENT METHODS]" caption="Count of PREFERRED PAYMENT METHODS" measure="1" displayFolder="" measureGroup="Buying_Behaviour" count="0" hidden="1">
      <extLst>
        <ext xmlns:x15="http://schemas.microsoft.com/office/spreadsheetml/2010/11/main" uri="{B97F6D7D-B522-45F9-BDA1-12C45D357490}">
          <x15:cacheHierarchy aggregatedColumn="9"/>
        </ext>
      </extLst>
    </cacheHierarchy>
    <cacheHierarchy uniqueName="[Measures].[Sum of AVERAGE SPEND MONTHLY]" caption="Sum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Average of AVERAGE SPEND MONTHLY]" caption="Average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MONTHLY SPEND CATEGORY]" caption="Count of MONTHLY SPEND CATEGORY" measure="1" displayFolder="" measureGroup="Buying_Behaviour" count="0" hidden="1">
      <extLst>
        <ext xmlns:x15="http://schemas.microsoft.com/office/spreadsheetml/2010/11/main" uri="{B97F6D7D-B522-45F9-BDA1-12C45D357490}">
          <x15:cacheHierarchy aggregatedColumn="7"/>
        </ext>
      </extLst>
    </cacheHierarchy>
    <cacheHierarchy uniqueName="[Measures].[Count of AVERAGE SPEND MONTHLY]" caption="Count of AVERAGE SPEND MONTHLY" measure="1" displayFolder="" measureGroup="Buying_Behaviour"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Buying_Behaviour" count="0" hidden="1">
      <extLst>
        <ext xmlns:x15="http://schemas.microsoft.com/office/spreadsheetml/2010/11/main" uri="{B97F6D7D-B522-45F9-BDA1-12C45D357490}">
          <x15:cacheHierarchy aggregatedColumn="1"/>
        </ext>
      </extLst>
    </cacheHierarchy>
    <cacheHierarchy uniqueName="[Measures].[Count of AGE RANGE]" caption="Count of AGE RANGE" measure="1" displayFolder="" measureGroup="Buying_Behaviour" count="0" hidden="1">
      <extLst>
        <ext xmlns:x15="http://schemas.microsoft.com/office/spreadsheetml/2010/11/main" uri="{B97F6D7D-B522-45F9-BDA1-12C45D357490}">
          <x15:cacheHierarchy aggregatedColumn="2"/>
        </ext>
      </extLst>
    </cacheHierarchy>
  </cacheHierarchies>
  <kpis count="0"/>
  <dimensions count="2">
    <dimension name="Buying_Behaviour" uniqueName="[Buying_Behaviour]" caption="Buying_Behaviour"/>
    <dimension measure="1" name="Measures" uniqueName="[Measures]" caption="Measures"/>
  </dimensions>
  <measureGroups count="1">
    <measureGroup name="Buying_Behaviour" caption="Buying_Behaviour"/>
  </measureGroups>
  <maps count="1">
    <map measureGroup="0" dimension="0"/>
  </maps>
  <extLst>
    <ext xmlns:x14="http://schemas.microsoft.com/office/spreadsheetml/2009/9/main" uri="{725AE2AE-9491-48be-B2B4-4EB974FC3084}">
      <x14:pivotCacheDefinition slicerData="1" pivotCacheId="2011003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8598E9-68F2-4334-BF5C-5E6A60F44F36}" name="PivotTable14" cacheId="11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2" rowHeaderCaption="Location">
  <location ref="D36:E41"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i>
    <i>
      <x v="2"/>
    </i>
    <i>
      <x v="1"/>
    </i>
    <i>
      <x v="4"/>
    </i>
  </rowItems>
  <colItems count="1">
    <i/>
  </colItems>
  <dataFields count="1">
    <dataField name="Count of BUYING DECISION INFLUENCE" fld="1" subtotal="count" baseField="0" baseItem="0"/>
  </dataFields>
  <formats count="4">
    <format dxfId="0">
      <pivotArea dataOnly="0" labelOnly="1" outline="0" axis="axisValues" fieldPosition="0"/>
    </format>
    <format dxfId="1">
      <pivotArea outline="0" collapsedLevelsAreSubtotals="1" fieldPosition="0"/>
    </format>
    <format dxfId="2">
      <pivotArea dataOnly="0" labelOnly="1" outline="0" axis="axisValues" fieldPosition="0"/>
    </format>
    <format dxfId="3">
      <pivotArea dataOnly="0" labelOnly="1" outline="0" axis="axisValues"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caption="% of Total"/>
    <pivotHierarchy dragToData="1"/>
    <pivotHierarchy dragToData="1"/>
    <pivotHierarchy dragToData="1"/>
    <pivotHierarchy dragToData="1"/>
    <pivotHierarchy dragToData="1"/>
    <pivotHierarchy dragToData="1" caption="No. of Respondents"/>
    <pivotHierarchy dragToData="1"/>
  </pivotHierarchies>
  <pivotTableStyleInfo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C798B6-3538-4241-9C68-7F5DEEB15A3A}" name="PivotTable3" cacheId="10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7" rowHeaderCaption="Location">
  <location ref="A36:B51" firstHeaderRow="1" firstDataRow="1" firstDataCol="1"/>
  <pivotFields count="2">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5">
    <i>
      <x v="9"/>
    </i>
    <i>
      <x v="10"/>
    </i>
    <i>
      <x v="8"/>
    </i>
    <i>
      <x/>
    </i>
    <i>
      <x v="13"/>
    </i>
    <i>
      <x v="12"/>
    </i>
    <i>
      <x v="2"/>
    </i>
    <i>
      <x v="4"/>
    </i>
    <i>
      <x v="7"/>
    </i>
    <i>
      <x v="3"/>
    </i>
    <i>
      <x v="14"/>
    </i>
    <i>
      <x v="1"/>
    </i>
    <i>
      <x v="6"/>
    </i>
    <i>
      <x v="5"/>
    </i>
    <i>
      <x v="11"/>
    </i>
  </rowItems>
  <colItems count="1">
    <i/>
  </colItems>
  <dataFields count="1">
    <dataField name="No. of Respondents" fld="1" subtotal="count" baseField="0" baseItem="0" numFmtId="1"/>
  </dataFields>
  <formats count="9">
    <format dxfId="4">
      <pivotArea collapsedLevelsAreSubtotals="1" fieldPosition="0">
        <references count="1">
          <reference field="0" count="3">
            <x v="0"/>
            <x v="1"/>
            <x v="2"/>
          </reference>
        </references>
      </pivotArea>
    </format>
    <format dxfId="5">
      <pivotArea field="0" type="button" dataOnly="0" labelOnly="1" outline="0" axis="axisRow" fieldPosition="0"/>
    </format>
    <format dxfId="6">
      <pivotArea dataOnly="0" labelOnly="1" fieldPosition="0">
        <references count="1">
          <reference field="0" count="3">
            <x v="0"/>
            <x v="1"/>
            <x v="2"/>
          </reference>
        </references>
      </pivotArea>
    </format>
    <format dxfId="7">
      <pivotArea dataOnly="0" labelOnly="1" outline="0" axis="axisValues" fieldPosition="0"/>
    </format>
    <format dxfId="8">
      <pivotArea outline="0" collapsedLevelsAreSubtotals="1" fieldPosition="0"/>
    </format>
    <format dxfId="9">
      <pivotArea field="0" type="button" dataOnly="0" labelOnly="1" outline="0" axis="axisRow" fieldPosition="0"/>
    </format>
    <format dxfId="10">
      <pivotArea dataOnly="0" labelOnly="1" outline="0" axis="axisValues" fieldPosition="0"/>
    </format>
    <format dxfId="11">
      <pivotArea field="0" type="button" dataOnly="0" labelOnly="1" outline="0" axis="axisRow" fieldPosition="0"/>
    </format>
    <format dxfId="12">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caption="% of Total"/>
    <pivotHierarchy dragToData="1"/>
    <pivotHierarchy dragToData="1"/>
    <pivotHierarchy dragToData="1"/>
    <pivotHierarchy dragToData="1"/>
    <pivotHierarchy dragToData="1"/>
    <pivotHierarchy dragToData="1" caption="No. of Respondents"/>
    <pivotHierarchy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7BEED-D9D7-4A31-8B6A-7552560849DD}" name="PivotTable2" cacheId="10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3" rowHeaderCaption="PAYMENT METHODS">
  <location ref="G22:H27"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x v="4"/>
    </i>
  </rowItems>
  <colItems count="1">
    <i/>
  </colItems>
  <dataFields count="1">
    <dataField name="AVERAGE SPEND MONTHLY" fld="1" subtotal="average" baseField="0" baseItem="0" numFmtId="166"/>
  </dataFields>
  <formats count="1">
    <format dxfId="31">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ERCENTAGE TO TOTAL"/>
    <pivotHierarchy dragToData="1" caption="Sum of AVERAGE SPEND MONTHLY"/>
    <pivotHierarchy dragToData="1" caption="AVERAGE SPEND MONTHL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120E34-92E8-4768-B607-49E4341A9102}" name="PivotTable12" cacheId="10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0" rowHeaderCaption="INCOME CATEGORY">
  <location ref="G5:H8"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2"/>
    </i>
    <i>
      <x v="1"/>
    </i>
  </rowItems>
  <colItems count="1">
    <i/>
  </colItems>
  <dataFields count="1">
    <dataField name="AVERAGE MONTHLY SPEND" fld="1" subtotal="average" baseField="0" baseItem="0" numFmtId="168"/>
  </dataFields>
  <formats count="1">
    <format dxfId="32">
      <pivotArea outline="0" collapsedLevelsAreSubtotals="1" fieldPosition="0"/>
    </format>
  </formats>
  <chartFormats count="1">
    <chartFormat chart="19" format="0"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caption="AVERAGE MONTHLY SPE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11FE58-C5CE-4573-B9EC-D81C87BF6065}" name="PivotTable7" cacheId="10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5" rowHeaderCaption="AGE RANGE">
  <location ref="K23:L27"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Count of AGE RANGE" fld="1" subtotal="count" baseField="0" baseItem="0"/>
  </dataFields>
  <formats count="1">
    <format dxfId="30">
      <pivotArea outline="0" collapsedLevelsAreSubtotals="1" fieldPosition="0"/>
    </format>
  </formats>
  <chartFormats count="1">
    <chartFormat chart="12" format="0"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AEF91C-58F8-4EEF-ABD7-9AD014612342}" name="PivotTable8" cacheId="10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6" rowHeaderCaption="Product Category">
  <location ref="N3:R10"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4">
    <i>
      <x/>
    </i>
    <i>
      <x v="1"/>
    </i>
    <i>
      <x v="2"/>
    </i>
    <i t="grand">
      <x/>
    </i>
  </colItems>
  <dataFields count="1">
    <dataField name="Count of AGE RANGE" fld="2" subtotal="count" baseField="0" baseItem="0"/>
  </dataFields>
  <formats count="1">
    <format dxfId="29">
      <pivotArea outline="0" collapsedLevelsAreSubtotals="1" fieldPosition="0"/>
    </format>
  </formats>
  <chartFormats count="6">
    <chartFormat chart="16" format="0" series="1">
      <pivotArea type="data" outline="0" fieldPosition="0">
        <references count="2">
          <reference field="4294967294" count="1" selected="0">
            <x v="0"/>
          </reference>
          <reference field="0" count="1" selected="0">
            <x v="0"/>
          </reference>
        </references>
      </pivotArea>
    </chartFormat>
    <chartFormat chart="16" format="1" series="1">
      <pivotArea type="data" outline="0" fieldPosition="0">
        <references count="2">
          <reference field="4294967294" count="1" selected="0">
            <x v="0"/>
          </reference>
          <reference field="0" count="1" selected="0">
            <x v="1"/>
          </reference>
        </references>
      </pivotArea>
    </chartFormat>
    <chartFormat chart="16" format="2" series="1">
      <pivotArea type="data" outline="0" fieldPosition="0">
        <references count="2">
          <reference field="4294967294" count="1" selected="0">
            <x v="0"/>
          </reference>
          <reference field="0" count="1" selected="0">
            <x v="2"/>
          </reference>
        </references>
      </pivotArea>
    </chartFormat>
    <chartFormat chart="18" format="6" series="1">
      <pivotArea type="data" outline="0" fieldPosition="0">
        <references count="2">
          <reference field="4294967294" count="1" selected="0">
            <x v="0"/>
          </reference>
          <reference field="0" count="1" selected="0">
            <x v="0"/>
          </reference>
        </references>
      </pivotArea>
    </chartFormat>
    <chartFormat chart="18" format="7" series="1">
      <pivotArea type="data" outline="0" fieldPosition="0">
        <references count="2">
          <reference field="4294967294" count="1" selected="0">
            <x v="0"/>
          </reference>
          <reference field="0" count="1" selected="0">
            <x v="1"/>
          </reference>
        </references>
      </pivotArea>
    </chartFormat>
    <chartFormat chart="18" format="8" series="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E1773B-A2F3-4199-BD8E-FF10F64F8CCD}" name="PivotTable6" cacheId="10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7" rowHeaderCaption="Gender">
  <location ref="D22:E2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 of Total" fld="1" subtotal="count" showDataAs="percentOfTotal" baseField="0" baseItem="0" numFmtId="9"/>
  </dataFields>
  <formats count="2">
    <format dxfId="38">
      <pivotArea outline="0" fieldPosition="0">
        <references count="1">
          <reference field="4294967294" count="1">
            <x v="0"/>
          </reference>
        </references>
      </pivotArea>
    </format>
    <format dxfId="39">
      <pivotArea outline="0" collapsedLevelsAreSubtotals="1" fieldPosition="0"/>
    </format>
  </formats>
  <chartFormats count="6">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caption="% of Total"/>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0A0FB6-B4A6-46E5-BF7D-8BFB9D8E7F83}" name="PivotTable13" cacheId="10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Monthly Spending" fld="0" subtotal="average" baseField="0" baseItem="0" numFmtId="168"/>
  </dataFields>
  <formats count="5">
    <format dxfId="13">
      <pivotArea type="all" dataOnly="0" outline="0" fieldPosition="0"/>
    </format>
    <format dxfId="14">
      <pivotArea dataOnly="0" labelOnly="1" outline="0" axis="axisValues" fieldPosition="0"/>
    </format>
    <format dxfId="15">
      <pivotArea outline="0" collapsedLevelsAreSubtotals="1" fieldPosition="0"/>
    </format>
    <format dxfId="16">
      <pivotArea dataOnly="0" labelOnly="1" outline="0" axis="axisValues" fieldPosition="0"/>
    </format>
    <format dxfId="17">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caption="Average Monthly Spending"/>
    <pivotHierarchy dragToData="1"/>
    <pivotHierarchy dragToData="1"/>
    <pivotHierarchy dragToData="1"/>
    <pivotHierarchy dragToData="1"/>
    <pivotHierarchy dragToData="1"/>
    <pivotHierarchy dragToData="1" caption="Count of S/N"/>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DD1CDF-9834-43D0-AA3D-AB0E55305F4E}" name="PivotTable9" cacheId="10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9" rowHeaderCaption="SPEND CATEGORY ">
  <location ref="T3:X7" firstHeaderRow="1" firstDataRow="2"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3">
    <i>
      <x v="1"/>
    </i>
    <i>
      <x v="2"/>
    </i>
    <i>
      <x/>
    </i>
  </rowItems>
  <colFields count="1">
    <field x="1"/>
  </colFields>
  <colItems count="4">
    <i>
      <x/>
    </i>
    <i>
      <x v="1"/>
    </i>
    <i>
      <x v="2"/>
    </i>
    <i>
      <x v="3"/>
    </i>
  </colItems>
  <dataFields count="1">
    <dataField name="Count of MONTHLY SPEND CATEGORY" fld="2" subtotal="count" baseField="0" baseItem="0"/>
  </dataFields>
  <formats count="1">
    <format dxfId="28">
      <pivotArea outline="0" collapsedLevelsAreSubtotals="1" fieldPosition="0"/>
    </format>
  </formats>
  <chartFormats count="8">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 chart="19" format="2" series="1">
      <pivotArea type="data" outline="0" fieldPosition="0">
        <references count="2">
          <reference field="4294967294" count="1" selected="0">
            <x v="0"/>
          </reference>
          <reference field="1" count="1" selected="0">
            <x v="2"/>
          </reference>
        </references>
      </pivotArea>
    </chartFormat>
    <chartFormat chart="19" format="3" series="1">
      <pivotArea type="data" outline="0" fieldPosition="0">
        <references count="2">
          <reference field="4294967294" count="1" selected="0">
            <x v="0"/>
          </reference>
          <reference field="1" count="1" selected="0">
            <x v="3"/>
          </reference>
        </references>
      </pivotArea>
    </chartFormat>
    <chartFormat chart="23" format="8" series="1">
      <pivotArea type="data" outline="0" fieldPosition="0">
        <references count="2">
          <reference field="4294967294" count="1" selected="0">
            <x v="0"/>
          </reference>
          <reference field="1" count="1" selected="0">
            <x v="0"/>
          </reference>
        </references>
      </pivotArea>
    </chartFormat>
    <chartFormat chart="23" format="9" series="1">
      <pivotArea type="data" outline="0" fieldPosition="0">
        <references count="2">
          <reference field="4294967294" count="1" selected="0">
            <x v="0"/>
          </reference>
          <reference field="1" count="1" selected="0">
            <x v="1"/>
          </reference>
        </references>
      </pivotArea>
    </chartFormat>
    <chartFormat chart="23" format="10" series="1">
      <pivotArea type="data" outline="0" fieldPosition="0">
        <references count="2">
          <reference field="4294967294" count="1" selected="0">
            <x v="0"/>
          </reference>
          <reference field="1" count="1" selected="0">
            <x v="2"/>
          </reference>
        </references>
      </pivotArea>
    </chartFormat>
    <chartFormat chart="23" format="11" series="1">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76CBE2-CFC5-4606-A57E-D7A3B0D37B27}" name="PivotTable10" cacheId="10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hopping Frequency " fld="0" subtotal="average" baseField="0" baseItem="0"/>
  </dataFields>
  <formats count="5">
    <format dxfId="18">
      <pivotArea type="all" dataOnly="0" outline="0" fieldPosition="0"/>
    </format>
    <format dxfId="19">
      <pivotArea outline="0" collapsedLevelsAreSubtotals="1" fieldPosition="0"/>
    </format>
    <format dxfId="20">
      <pivotArea dataOnly="0" labelOnly="1" outline="0" axis="axisValues" fieldPosition="0"/>
    </format>
    <format dxfId="21">
      <pivotArea dataOnly="0" labelOnly="1" outline="0" axis="axisValues" fieldPosition="0"/>
    </format>
    <format dxfId="22">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caption="Count of S/N"/>
    <pivotHierarchy dragToData="1"/>
    <pivotHierarchy dragToData="1" caption="Avg Shopping Frequency "/>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0C4408-7C5A-4619-ACB2-FC816C6A1E11}" name="PivotTable1" cacheId="10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D5:E10"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 OF PAYMENT METHODS" fld="1" subtotal="count" showDataAs="percentOfTotal" baseField="0" baseItem="0" numFmtId="9"/>
  </dataFields>
  <formats count="5">
    <format dxfId="33">
      <pivotArea outline="0" collapsedLevelsAreSubtotals="1" fieldPosition="0"/>
    </format>
    <format dxfId="34">
      <pivotArea field="0" type="button" dataOnly="0" labelOnly="1" outline="0" axis="axisRow" fieldPosition="0"/>
    </format>
    <format dxfId="35">
      <pivotArea dataOnly="0" labelOnly="1" outline="0" axis="axisValues" fieldPosition="0"/>
    </format>
    <format dxfId="36">
      <pivotArea field="0" type="button" dataOnly="0" labelOnly="1" outline="0" axis="axisRow" fieldPosition="0"/>
    </format>
    <format dxfId="37">
      <pivotArea dataOnly="0" labelOnly="1" outline="0" axis="axisValues" fieldPosition="0"/>
    </format>
  </formats>
  <chartFormats count="10">
    <chartFormat chart="4" format="1"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1AEF89-27B3-4A6D-8D8E-976E667516DE}" name="PivotTable5" cacheId="11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6" rowHeaderCaption="PAYMENT METHODS">
  <location ref="J4:L10" firstHeaderRow="1" firstDataRow="2" firstDataCol="1"/>
  <pivotFields count="4">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2">
        <item x="0"/>
        <item x="1"/>
      </items>
    </pivotField>
  </pivotFields>
  <rowFields count="1">
    <field x="1"/>
  </rowFields>
  <rowItems count="5">
    <i>
      <x v="1"/>
    </i>
    <i>
      <x/>
    </i>
    <i>
      <x v="2"/>
    </i>
    <i>
      <x v="4"/>
    </i>
    <i>
      <x v="3"/>
    </i>
  </rowItems>
  <colFields count="1">
    <field x="3"/>
  </colFields>
  <colItems count="2">
    <i>
      <x/>
    </i>
    <i>
      <x v="1"/>
    </i>
  </colItems>
  <dataFields count="1">
    <dataField name="Count of AVERAGE SPEND MONTHLY" fld="2" subtotal="count" baseField="1" baseItem="0" numFmtId="1"/>
  </dataFields>
  <formats count="1">
    <format dxfId="40">
      <pivotArea outline="0" collapsedLevelsAreSubtotals="1" fieldPosition="0"/>
    </format>
  </formats>
  <chartFormats count="1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3" count="1" selected="0">
            <x v="0"/>
          </reference>
        </references>
      </pivotArea>
    </chartFormat>
    <chartFormat chart="17" format="1"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ERCENTAGE TO TOTAL"/>
    <pivotHierarchy dragToData="1" caption="Sum of AVERAGE SPEND MONTHLY"/>
    <pivotHierarchy dragToData="1" caption="AVERAGE SPEND MONTHLY"/>
    <pivotHierarchy dragToData="1"/>
    <pivotHierarchy dragToData="1" caption="Count of AVERAGE SPEND MONTHLY"/>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9319C1-23A8-4722-BFA4-FC78CC7FBF11}" name="PivotTable4" cacheId="1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rowHeaderCaption="PAYMENT METHODS">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Responders " fld="0" subtotal="count" baseField="0" baseItem="0" numFmtId="1"/>
  </dataFields>
  <formats count="5">
    <format dxfId="23">
      <pivotArea type="all" dataOnly="0" outline="0" fieldPosition="0"/>
    </format>
    <format dxfId="24">
      <pivotArea outline="0" collapsedLevelsAreSubtotals="1" fieldPosition="0"/>
    </format>
    <format dxfId="25">
      <pivotArea dataOnly="0" labelOnly="1" outline="0" axis="axisValues" fieldPosition="0"/>
    </format>
    <format dxfId="26">
      <pivotArea dataOnly="0" labelOnly="1" outline="0" axis="axisValues" fieldPosition="0"/>
    </format>
    <format dxfId="27">
      <pivotArea dataOnly="0" labelOnly="1" outline="0" axis="axisValues" fieldPosition="0"/>
    </format>
  </formats>
  <pivotHierarchies count="2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 OF PAYMENT METHODS"/>
    <pivotHierarchy dragToData="1"/>
    <pivotHierarchy dragToData="1"/>
    <pivotHierarchy dragToData="1"/>
    <pivotHierarchy dragToData="1"/>
    <pivotHierarchy dragToData="1"/>
    <pivotHierarchy dragToData="1"/>
    <pivotHierarchy dragToData="1"/>
    <pivotHierarchy dragToData="1" caption="No. of Responders "/>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uying Behaviour of Nigerians-111.xlsx!Buying_Behaviour">
        <x15:activeTabTopLevelEntity name="[Buying_Behaviou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45FD80-392D-4C97-B6F2-58FAF01046B0}" sourceName="[Buying_Behaviour].[GENDER]">
  <pivotTables>
    <pivotTable tabId="3" name="PivotTable6"/>
    <pivotTable tabId="3" name="PivotTable1"/>
    <pivotTable tabId="3" name="PivotTable12"/>
    <pivotTable tabId="3" name="PivotTable2"/>
    <pivotTable tabId="3" name="PivotTable5"/>
    <pivotTable tabId="3" name="PivotTable7"/>
    <pivotTable tabId="3" name="PivotTable8"/>
    <pivotTable tabId="3" name="PivotTable9"/>
    <pivotTable tabId="3" name="PivotTable4"/>
    <pivotTable tabId="3" name="PivotTable10"/>
    <pivotTable tabId="3" name="PivotTable13"/>
    <pivotTable tabId="3" name="PivotTable3"/>
    <pivotTable tabId="3" name="PivotTable14"/>
  </pivotTables>
  <data>
    <olap pivotCacheId="2011003088">
      <levels count="2">
        <level uniqueName="[Buying_Behaviour].[GENDER].[(All)]" sourceCaption="(All)" count="0"/>
        <level uniqueName="[Buying_Behaviour].[GENDER].[GENDER]" sourceCaption="GENDER" count="2">
          <ranges>
            <range startItem="0">
              <i n="[Buying_Behaviour].[GENDER].&amp;[Female]" c="Female"/>
              <i n="[Buying_Behaviour].[GENDER].&amp;[Male]" c="Male"/>
            </range>
          </ranges>
        </level>
      </levels>
      <selections count="1">
        <selection n="[Buying_Behaviour].[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8AD6D054-06CD-4DA4-9C81-DC926FF1833D}" sourceName="[Buying_Behaviour].[AGE RANGE]">
  <pivotTables>
    <pivotTable tabId="3" name="PivotTable6"/>
    <pivotTable tabId="3" name="PivotTable1"/>
    <pivotTable tabId="3" name="PivotTable12"/>
    <pivotTable tabId="3" name="PivotTable2"/>
    <pivotTable tabId="3" name="PivotTable5"/>
    <pivotTable tabId="3" name="PivotTable7"/>
    <pivotTable tabId="3" name="PivotTable8"/>
    <pivotTable tabId="3" name="PivotTable9"/>
    <pivotTable tabId="3" name="PivotTable4"/>
    <pivotTable tabId="3" name="PivotTable10"/>
    <pivotTable tabId="3" name="PivotTable13"/>
    <pivotTable tabId="3" name="PivotTable3"/>
    <pivotTable tabId="3" name="PivotTable14"/>
  </pivotTables>
  <data>
    <olap pivotCacheId="2011003088">
      <levels count="2">
        <level uniqueName="[Buying_Behaviour].[AGE RANGE].[(All)]" sourceCaption="(All)" count="0"/>
        <level uniqueName="[Buying_Behaviour].[AGE RANGE].[AGE RANGE]" sourceCaption="AGE RANGE" count="3">
          <ranges>
            <range startItem="0">
              <i n="[Buying_Behaviour].[AGE RANGE].&amp;[18-25]" c="18-25"/>
              <i n="[Buying_Behaviour].[AGE RANGE].&amp;[26-35]" c="26-35"/>
              <i n="[Buying_Behaviour].[AGE RANGE].&amp;[36-45]" c="36-45"/>
            </range>
          </ranges>
        </level>
      </levels>
      <selections count="1">
        <selection n="[Buying_Behaviour].[AGE RAN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SPEND_CATEGORY" xr10:uid="{C6F22B88-D647-42DB-A385-B5B437907B99}" sourceName="[Buying_Behaviour].[MONTHLY SPEND CATEGORY]">
  <pivotTables>
    <pivotTable tabId="3" name="PivotTable6"/>
    <pivotTable tabId="3" name="PivotTable1"/>
    <pivotTable tabId="3" name="PivotTable12"/>
    <pivotTable tabId="3" name="PivotTable2"/>
    <pivotTable tabId="3" name="PivotTable5"/>
    <pivotTable tabId="3" name="PivotTable7"/>
    <pivotTable tabId="3" name="PivotTable8"/>
    <pivotTable tabId="3" name="PivotTable9"/>
    <pivotTable tabId="3" name="PivotTable4"/>
    <pivotTable tabId="3" name="PivotTable10"/>
    <pivotTable tabId="3" name="PivotTable13"/>
    <pivotTable tabId="3" name="PivotTable3"/>
    <pivotTable tabId="3" name="PivotTable14"/>
  </pivotTables>
  <data>
    <olap pivotCacheId="2011003088">
      <levels count="2">
        <level uniqueName="[Buying_Behaviour].[MONTHLY SPEND CATEGORY].[(All)]" sourceCaption="(All)" count="0"/>
        <level uniqueName="[Buying_Behaviour].[MONTHLY SPEND CATEGORY].[MONTHLY SPEND CATEGORY]" sourceCaption="MONTHLY SPEND CATEGORY" count="3">
          <ranges>
            <range startItem="0">
              <i n="[Buying_Behaviour].[MONTHLY SPEND CATEGORY].&amp;[High]" c="High"/>
              <i n="[Buying_Behaviour].[MONTHLY SPEND CATEGORY].&amp;[Low]" c="Low"/>
              <i n="[Buying_Behaviour].[MONTHLY SPEND CATEGORY].&amp;[Medium]" c="Medium"/>
            </range>
          </ranges>
        </level>
      </levels>
      <selections count="1">
        <selection n="[Buying_Behaviour].[MONTHLY SPEND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036B175-5D9E-406C-8C4D-880F4934A9D9}" cache="Slicer_GENDER" caption="GENDER" columnCount="2" level="1" style="SlicerStyleDark4" rowHeight="220133"/>
  <slicer name="AGE RANGE" xr10:uid="{70C5730C-84E0-46EA-8598-2BB51F4F2207}" cache="Slicer_AGE_RANGE" caption="AGE RANGE" columnCount="3" level="1" style="SlicerStyleDark4" rowHeight="220133"/>
  <slicer name="MONTHLY SPEND CATEGORY" xr10:uid="{2DAD7AA6-F1E7-40C6-9750-3954B22DA35C}" cache="Slicer_MONTHLY_SPEND_CATEGORY" caption="MONTHLY SPEND CATEGORY" columnCount="3" level="1" style="SlicerStyleDark4"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1465BE-CDA9-4AE0-BF15-2EDA68DEE784}" name="Buying_Behaviour" displayName="Buying_Behaviour" ref="A1:L108" totalsRowShown="0" headerRowDxfId="306" dataDxfId="305" tableBorderDxfId="304">
  <tableColumns count="12">
    <tableColumn id="12" xr3:uid="{95D2BE8A-D55C-4381-839B-9E5CA253A928}" name="S/N" dataDxfId="303"/>
    <tableColumn id="1" xr3:uid="{EFD16E7E-3EEB-42E7-A006-DDB2E3A7929E}" name="GENDER" dataDxfId="302"/>
    <tableColumn id="2" xr3:uid="{9444BB8F-3678-4158-B01B-4CF10CB17D9A}" name="AGE RANGE" dataDxfId="301"/>
    <tableColumn id="3" xr3:uid="{620055B5-6CE6-4789-AAA1-05C3D5B56ABD}" name="LOCATION" dataDxfId="300"/>
    <tableColumn id="4" xr3:uid="{5EEB42D2-B5E9-4247-9DAA-7B4D708D9FA4}" name="SHOPPING FREQUENCY (MONTHLY)" dataDxfId="299"/>
    <tableColumn id="5" xr3:uid="{05108704-0FF7-464B-911A-7F8B04FCB984}" name="ACTIVE SHOPPER" dataDxfId="298">
      <calculatedColumnFormula>IF(E2&gt;=5,"Frequent","Occasional")</calculatedColumnFormula>
    </tableColumn>
    <tableColumn id="6" xr3:uid="{E2CA9848-EF96-4F73-B094-A0EA9219FF08}" name="AVERAGE SPEND MONTHLY" dataDxfId="297" dataCellStyle="Comma"/>
    <tableColumn id="7" xr3:uid="{B8662269-32D7-4914-871B-14C92CD30D8C}" name="MONTHLY SPEND CATEGORY" dataDxfId="296" dataCellStyle="Comma">
      <calculatedColumnFormula>IF(G2&lt;20000,"Low",IF(G2&lt;=50000,"Medium","High"))</calculatedColumnFormula>
    </tableColumn>
    <tableColumn id="8" xr3:uid="{D56BDA4A-8F1A-4669-8716-69D2353234C9}" name="SHOPPING PLATFORMS" dataDxfId="295"/>
    <tableColumn id="9" xr3:uid="{C2C553B6-684D-4D22-A19B-FB12B52AD088}" name="PREFERRED PAYMENT METHODS" dataDxfId="294"/>
    <tableColumn id="10" xr3:uid="{DFFCD8A5-3D91-4905-A4A0-F06DC6701E4A}" name="BUYING DECISION INFLUENCE" dataDxfId="293"/>
    <tableColumn id="11" xr3:uid="{A9589D65-C5DA-4AE2-B781-AD36D7544CE1}" name="PRODUCT BOUGHT FREQUENTLY" dataDxfId="29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8"/>
  <sheetViews>
    <sheetView zoomScale="98" zoomScaleNormal="98" workbookViewId="0">
      <pane ySplit="1" topLeftCell="A2" activePane="bottomLeft" state="frozen"/>
      <selection pane="bottomLeft" activeCell="I17" sqref="I17"/>
    </sheetView>
  </sheetViews>
  <sheetFormatPr defaultColWidth="12.6328125" defaultRowHeight="15.75" customHeight="1" x14ac:dyDescent="0.25"/>
  <cols>
    <col min="1" max="1" width="4.81640625" customWidth="1"/>
    <col min="2" max="2" width="8.6328125" bestFit="1" customWidth="1"/>
    <col min="3" max="3" width="11.81640625" bestFit="1" customWidth="1"/>
    <col min="4" max="4" width="10.36328125" bestFit="1" customWidth="1"/>
    <col min="5" max="5" width="34" bestFit="1" customWidth="1"/>
    <col min="6" max="6" width="17" bestFit="1" customWidth="1"/>
    <col min="7" max="7" width="26.54296875" bestFit="1" customWidth="1"/>
    <col min="8" max="8" width="28.08984375" bestFit="1" customWidth="1"/>
    <col min="9" max="9" width="22.7265625" bestFit="1" customWidth="1"/>
    <col min="10" max="10" width="33.81640625" bestFit="1" customWidth="1"/>
    <col min="11" max="11" width="28.36328125" bestFit="1" customWidth="1"/>
    <col min="12" max="12" width="32" bestFit="1" customWidth="1"/>
    <col min="13" max="16" width="18.90625" customWidth="1"/>
  </cols>
  <sheetData>
    <row r="1" spans="1:12" ht="15.75" customHeight="1" x14ac:dyDescent="0.25">
      <c r="A1" s="31" t="s">
        <v>48</v>
      </c>
      <c r="B1" s="31" t="s">
        <v>49</v>
      </c>
      <c r="C1" s="31" t="s">
        <v>50</v>
      </c>
      <c r="D1" s="32" t="s">
        <v>51</v>
      </c>
      <c r="E1" s="31" t="s">
        <v>52</v>
      </c>
      <c r="F1" s="31" t="s">
        <v>53</v>
      </c>
      <c r="G1" s="31" t="s">
        <v>55</v>
      </c>
      <c r="H1" s="31" t="s">
        <v>54</v>
      </c>
      <c r="I1" s="31" t="s">
        <v>56</v>
      </c>
      <c r="J1" s="31" t="s">
        <v>60</v>
      </c>
      <c r="K1" s="31" t="s">
        <v>57</v>
      </c>
      <c r="L1" s="31" t="s">
        <v>58</v>
      </c>
    </row>
    <row r="2" spans="1:12" ht="15.75" customHeight="1" x14ac:dyDescent="0.25">
      <c r="A2" s="30">
        <v>1</v>
      </c>
      <c r="B2" s="26" t="s">
        <v>2</v>
      </c>
      <c r="C2" s="5" t="s">
        <v>3</v>
      </c>
      <c r="D2" s="10" t="s">
        <v>8</v>
      </c>
      <c r="E2" s="35">
        <v>5</v>
      </c>
      <c r="F2" s="6" t="str">
        <f>IF(E2&gt;=5,"Frequent","Occasional")</f>
        <v>Frequent</v>
      </c>
      <c r="G2" s="7">
        <v>70000</v>
      </c>
      <c r="H2" s="7" t="str">
        <f>IF(G2&lt;20000,"Low",IF(G2&lt;=50000,"Medium","High"))</f>
        <v>High</v>
      </c>
      <c r="I2" s="5" t="s">
        <v>23</v>
      </c>
      <c r="J2" s="5" t="s">
        <v>4</v>
      </c>
      <c r="K2" s="5" t="s">
        <v>10</v>
      </c>
      <c r="L2" s="28" t="s">
        <v>5</v>
      </c>
    </row>
    <row r="3" spans="1:12" ht="15.75" customHeight="1" x14ac:dyDescent="0.25">
      <c r="A3" s="30">
        <v>2</v>
      </c>
      <c r="B3" s="27" t="s">
        <v>6</v>
      </c>
      <c r="C3" s="8" t="s">
        <v>7</v>
      </c>
      <c r="D3" s="11" t="s">
        <v>8</v>
      </c>
      <c r="E3" s="36">
        <v>3</v>
      </c>
      <c r="F3" s="6" t="str">
        <f t="shared" ref="F3:F66" si="0">IF(E3&gt;=5,"Frequent","Occasional")</f>
        <v>Occasional</v>
      </c>
      <c r="G3" s="9">
        <v>300000</v>
      </c>
      <c r="H3" s="7" t="str">
        <f t="shared" ref="H3:H66" si="1">IF(G3&lt;20000,"Low",IF(G3&lt;=50000,"Medium","High"))</f>
        <v>High</v>
      </c>
      <c r="I3" s="5" t="s">
        <v>25</v>
      </c>
      <c r="J3" s="8" t="s">
        <v>9</v>
      </c>
      <c r="K3" s="8" t="s">
        <v>10</v>
      </c>
      <c r="L3" s="29" t="s">
        <v>5</v>
      </c>
    </row>
    <row r="4" spans="1:12" ht="15.75" customHeight="1" x14ac:dyDescent="0.25">
      <c r="A4" s="30">
        <v>3</v>
      </c>
      <c r="B4" s="26" t="s">
        <v>6</v>
      </c>
      <c r="C4" s="5" t="s">
        <v>7</v>
      </c>
      <c r="D4" s="10" t="s">
        <v>11</v>
      </c>
      <c r="E4" s="35">
        <v>1</v>
      </c>
      <c r="F4" s="6" t="str">
        <f t="shared" si="0"/>
        <v>Occasional</v>
      </c>
      <c r="G4" s="7">
        <v>200000</v>
      </c>
      <c r="H4" s="7" t="str">
        <f t="shared" si="1"/>
        <v>High</v>
      </c>
      <c r="I4" s="5" t="s">
        <v>12</v>
      </c>
      <c r="J4" s="5" t="s">
        <v>9</v>
      </c>
      <c r="K4" s="5" t="s">
        <v>13</v>
      </c>
      <c r="L4" s="28" t="s">
        <v>14</v>
      </c>
    </row>
    <row r="5" spans="1:12" ht="15.75" customHeight="1" x14ac:dyDescent="0.25">
      <c r="A5" s="30">
        <v>4</v>
      </c>
      <c r="B5" s="27" t="s">
        <v>2</v>
      </c>
      <c r="C5" s="8" t="s">
        <v>3</v>
      </c>
      <c r="D5" s="11" t="s">
        <v>8</v>
      </c>
      <c r="E5" s="36">
        <v>1</v>
      </c>
      <c r="F5" s="6" t="str">
        <f t="shared" si="0"/>
        <v>Occasional</v>
      </c>
      <c r="G5" s="9">
        <v>150000</v>
      </c>
      <c r="H5" s="7" t="str">
        <f t="shared" si="1"/>
        <v>High</v>
      </c>
      <c r="I5" s="5" t="s">
        <v>39</v>
      </c>
      <c r="J5" s="8" t="s">
        <v>9</v>
      </c>
      <c r="K5" s="8" t="s">
        <v>19</v>
      </c>
      <c r="L5" s="29" t="s">
        <v>15</v>
      </c>
    </row>
    <row r="6" spans="1:12" ht="15.75" customHeight="1" x14ac:dyDescent="0.25">
      <c r="A6" s="30">
        <v>5</v>
      </c>
      <c r="B6" s="26" t="s">
        <v>2</v>
      </c>
      <c r="C6" s="5" t="s">
        <v>7</v>
      </c>
      <c r="D6" s="10" t="s">
        <v>8</v>
      </c>
      <c r="E6" s="35">
        <v>1</v>
      </c>
      <c r="F6" s="6" t="str">
        <f t="shared" si="0"/>
        <v>Occasional</v>
      </c>
      <c r="G6" s="7">
        <v>200000</v>
      </c>
      <c r="H6" s="7" t="str">
        <f t="shared" si="1"/>
        <v>High</v>
      </c>
      <c r="I6" s="5" t="s">
        <v>12</v>
      </c>
      <c r="J6" s="5" t="s">
        <v>9</v>
      </c>
      <c r="K6" s="5" t="s">
        <v>16</v>
      </c>
      <c r="L6" s="28" t="s">
        <v>5</v>
      </c>
    </row>
    <row r="7" spans="1:12" ht="15.75" customHeight="1" x14ac:dyDescent="0.25">
      <c r="A7" s="30">
        <v>6</v>
      </c>
      <c r="B7" s="27" t="s">
        <v>6</v>
      </c>
      <c r="C7" s="8" t="s">
        <v>3</v>
      </c>
      <c r="D7" s="11" t="s">
        <v>8</v>
      </c>
      <c r="E7" s="36">
        <v>6</v>
      </c>
      <c r="F7" s="6" t="str">
        <f t="shared" si="0"/>
        <v>Frequent</v>
      </c>
      <c r="G7" s="9">
        <v>100000</v>
      </c>
      <c r="H7" s="7" t="str">
        <f t="shared" si="1"/>
        <v>High</v>
      </c>
      <c r="I7" s="5" t="s">
        <v>38</v>
      </c>
      <c r="J7" s="8" t="s">
        <v>9</v>
      </c>
      <c r="K7" s="8" t="s">
        <v>19</v>
      </c>
      <c r="L7" s="29" t="s">
        <v>17</v>
      </c>
    </row>
    <row r="8" spans="1:12" ht="15.75" customHeight="1" x14ac:dyDescent="0.25">
      <c r="A8" s="30">
        <v>7</v>
      </c>
      <c r="B8" s="26" t="s">
        <v>2</v>
      </c>
      <c r="C8" s="5" t="s">
        <v>3</v>
      </c>
      <c r="D8" s="10" t="s">
        <v>8</v>
      </c>
      <c r="E8" s="35">
        <v>1</v>
      </c>
      <c r="F8" s="6" t="str">
        <f t="shared" si="0"/>
        <v>Occasional</v>
      </c>
      <c r="G8" s="7">
        <v>50000</v>
      </c>
      <c r="H8" s="7" t="str">
        <f t="shared" si="1"/>
        <v>Medium</v>
      </c>
      <c r="I8" s="5" t="s">
        <v>12</v>
      </c>
      <c r="J8" s="5" t="s">
        <v>9</v>
      </c>
      <c r="K8" s="5" t="s">
        <v>16</v>
      </c>
      <c r="L8" s="28" t="s">
        <v>5</v>
      </c>
    </row>
    <row r="9" spans="1:12" ht="15.75" customHeight="1" x14ac:dyDescent="0.25">
      <c r="A9" s="30">
        <v>8</v>
      </c>
      <c r="B9" s="27" t="s">
        <v>6</v>
      </c>
      <c r="C9" s="8" t="s">
        <v>7</v>
      </c>
      <c r="D9" s="11" t="s">
        <v>8</v>
      </c>
      <c r="E9" s="36">
        <v>9</v>
      </c>
      <c r="F9" s="6" t="str">
        <f t="shared" si="0"/>
        <v>Frequent</v>
      </c>
      <c r="G9" s="9">
        <v>30000</v>
      </c>
      <c r="H9" s="7" t="str">
        <f t="shared" si="1"/>
        <v>Medium</v>
      </c>
      <c r="I9" s="5" t="s">
        <v>12</v>
      </c>
      <c r="J9" s="8" t="s">
        <v>9</v>
      </c>
      <c r="K9" s="8" t="s">
        <v>19</v>
      </c>
      <c r="L9" s="29" t="s">
        <v>5</v>
      </c>
    </row>
    <row r="10" spans="1:12" ht="15.75" customHeight="1" x14ac:dyDescent="0.25">
      <c r="A10" s="30">
        <v>9</v>
      </c>
      <c r="B10" s="26" t="s">
        <v>2</v>
      </c>
      <c r="C10" s="5" t="s">
        <v>3</v>
      </c>
      <c r="D10" s="10" t="s">
        <v>8</v>
      </c>
      <c r="E10" s="35">
        <v>3</v>
      </c>
      <c r="F10" s="6" t="str">
        <f t="shared" si="0"/>
        <v>Occasional</v>
      </c>
      <c r="G10" s="7">
        <v>100000</v>
      </c>
      <c r="H10" s="7" t="str">
        <f t="shared" si="1"/>
        <v>High</v>
      </c>
      <c r="I10" s="5" t="s">
        <v>25</v>
      </c>
      <c r="J10" s="5" t="s">
        <v>9</v>
      </c>
      <c r="K10" s="5" t="s">
        <v>19</v>
      </c>
      <c r="L10" s="28" t="s">
        <v>15</v>
      </c>
    </row>
    <row r="11" spans="1:12" ht="15.75" customHeight="1" x14ac:dyDescent="0.25">
      <c r="A11" s="30">
        <v>10</v>
      </c>
      <c r="B11" s="27" t="s">
        <v>2</v>
      </c>
      <c r="C11" s="8" t="s">
        <v>3</v>
      </c>
      <c r="D11" s="11" t="s">
        <v>8</v>
      </c>
      <c r="E11" s="36">
        <v>3</v>
      </c>
      <c r="F11" s="6" t="str">
        <f t="shared" si="0"/>
        <v>Occasional</v>
      </c>
      <c r="G11" s="9">
        <v>75000</v>
      </c>
      <c r="H11" s="7" t="str">
        <f t="shared" si="1"/>
        <v>High</v>
      </c>
      <c r="I11" s="5" t="s">
        <v>12</v>
      </c>
      <c r="J11" s="8" t="s">
        <v>18</v>
      </c>
      <c r="K11" s="8" t="s">
        <v>16</v>
      </c>
      <c r="L11" s="29" t="s">
        <v>15</v>
      </c>
    </row>
    <row r="12" spans="1:12" ht="15.75" customHeight="1" x14ac:dyDescent="0.25">
      <c r="A12" s="30">
        <v>11</v>
      </c>
      <c r="B12" s="26" t="s">
        <v>2</v>
      </c>
      <c r="C12" s="5" t="s">
        <v>3</v>
      </c>
      <c r="D12" s="10" t="s">
        <v>8</v>
      </c>
      <c r="E12" s="35">
        <v>5</v>
      </c>
      <c r="F12" s="6" t="str">
        <f t="shared" si="0"/>
        <v>Frequent</v>
      </c>
      <c r="G12" s="7">
        <v>100000</v>
      </c>
      <c r="H12" s="7" t="str">
        <f t="shared" si="1"/>
        <v>High</v>
      </c>
      <c r="I12" s="5" t="s">
        <v>25</v>
      </c>
      <c r="J12" s="5" t="s">
        <v>9</v>
      </c>
      <c r="K12" s="5" t="s">
        <v>19</v>
      </c>
      <c r="L12" s="28" t="s">
        <v>5</v>
      </c>
    </row>
    <row r="13" spans="1:12" ht="15.75" customHeight="1" x14ac:dyDescent="0.25">
      <c r="A13" s="30">
        <v>12</v>
      </c>
      <c r="B13" s="27" t="s">
        <v>2</v>
      </c>
      <c r="C13" s="8" t="s">
        <v>3</v>
      </c>
      <c r="D13" s="11" t="s">
        <v>8</v>
      </c>
      <c r="E13" s="36">
        <v>2</v>
      </c>
      <c r="F13" s="6" t="str">
        <f t="shared" si="0"/>
        <v>Occasional</v>
      </c>
      <c r="G13" s="9">
        <v>200000</v>
      </c>
      <c r="H13" s="7" t="str">
        <f t="shared" si="1"/>
        <v>High</v>
      </c>
      <c r="I13" s="5" t="s">
        <v>25</v>
      </c>
      <c r="J13" s="8" t="s">
        <v>9</v>
      </c>
      <c r="K13" s="8" t="s">
        <v>19</v>
      </c>
      <c r="L13" s="29" t="s">
        <v>20</v>
      </c>
    </row>
    <row r="14" spans="1:12" ht="15.75" customHeight="1" x14ac:dyDescent="0.25">
      <c r="A14" s="30">
        <v>13</v>
      </c>
      <c r="B14" s="26" t="s">
        <v>2</v>
      </c>
      <c r="C14" s="5" t="s">
        <v>3</v>
      </c>
      <c r="D14" s="10" t="s">
        <v>33</v>
      </c>
      <c r="E14" s="35">
        <v>2</v>
      </c>
      <c r="F14" s="6" t="str">
        <f t="shared" si="0"/>
        <v>Occasional</v>
      </c>
      <c r="G14" s="7">
        <v>100000</v>
      </c>
      <c r="H14" s="7" t="str">
        <f t="shared" si="1"/>
        <v>High</v>
      </c>
      <c r="I14" s="5" t="s">
        <v>12</v>
      </c>
      <c r="J14" s="5" t="s">
        <v>9</v>
      </c>
      <c r="K14" s="5" t="s">
        <v>16</v>
      </c>
      <c r="L14" s="28" t="s">
        <v>5</v>
      </c>
    </row>
    <row r="15" spans="1:12" ht="15.75" customHeight="1" x14ac:dyDescent="0.25">
      <c r="A15" s="30">
        <v>14</v>
      </c>
      <c r="B15" s="27" t="s">
        <v>2</v>
      </c>
      <c r="C15" s="8" t="s">
        <v>7</v>
      </c>
      <c r="D15" s="11" t="s">
        <v>29</v>
      </c>
      <c r="E15" s="36">
        <v>2</v>
      </c>
      <c r="F15" s="6" t="str">
        <f t="shared" si="0"/>
        <v>Occasional</v>
      </c>
      <c r="G15" s="9">
        <v>20000</v>
      </c>
      <c r="H15" s="7" t="str">
        <f t="shared" si="1"/>
        <v>Medium</v>
      </c>
      <c r="I15" s="5" t="s">
        <v>12</v>
      </c>
      <c r="J15" s="8" t="s">
        <v>9</v>
      </c>
      <c r="K15" s="8" t="s">
        <v>19</v>
      </c>
      <c r="L15" s="29" t="s">
        <v>5</v>
      </c>
    </row>
    <row r="16" spans="1:12" ht="15.75" customHeight="1" x14ac:dyDescent="0.25">
      <c r="A16" s="30">
        <v>15</v>
      </c>
      <c r="B16" s="26" t="s">
        <v>2</v>
      </c>
      <c r="C16" s="5" t="s">
        <v>3</v>
      </c>
      <c r="D16" s="10" t="s">
        <v>8</v>
      </c>
      <c r="E16" s="35">
        <v>5</v>
      </c>
      <c r="F16" s="6" t="str">
        <f t="shared" si="0"/>
        <v>Frequent</v>
      </c>
      <c r="G16" s="7">
        <v>450000</v>
      </c>
      <c r="H16" s="7" t="str">
        <f t="shared" si="1"/>
        <v>High</v>
      </c>
      <c r="I16" s="5" t="s">
        <v>12</v>
      </c>
      <c r="J16" s="5" t="s">
        <v>9</v>
      </c>
      <c r="K16" s="5" t="s">
        <v>16</v>
      </c>
      <c r="L16" s="28" t="s">
        <v>15</v>
      </c>
    </row>
    <row r="17" spans="1:12" ht="15.75" customHeight="1" x14ac:dyDescent="0.25">
      <c r="A17" s="30">
        <v>16</v>
      </c>
      <c r="B17" s="27" t="s">
        <v>2</v>
      </c>
      <c r="C17" s="8" t="s">
        <v>3</v>
      </c>
      <c r="D17" s="11" t="s">
        <v>21</v>
      </c>
      <c r="E17" s="36">
        <v>2</v>
      </c>
      <c r="F17" s="6" t="str">
        <f t="shared" si="0"/>
        <v>Occasional</v>
      </c>
      <c r="G17" s="9">
        <v>50000</v>
      </c>
      <c r="H17" s="7" t="str">
        <f t="shared" si="1"/>
        <v>Medium</v>
      </c>
      <c r="I17" s="5" t="s">
        <v>12</v>
      </c>
      <c r="J17" s="8" t="s">
        <v>9</v>
      </c>
      <c r="K17" s="8" t="s">
        <v>19</v>
      </c>
      <c r="L17" s="29" t="s">
        <v>5</v>
      </c>
    </row>
    <row r="18" spans="1:12" ht="15.75" customHeight="1" x14ac:dyDescent="0.25">
      <c r="A18" s="30">
        <v>17</v>
      </c>
      <c r="B18" s="26" t="s">
        <v>6</v>
      </c>
      <c r="C18" s="5" t="s">
        <v>7</v>
      </c>
      <c r="D18" s="10" t="s">
        <v>8</v>
      </c>
      <c r="E18" s="35">
        <v>1</v>
      </c>
      <c r="F18" s="6" t="str">
        <f t="shared" si="0"/>
        <v>Occasional</v>
      </c>
      <c r="G18" s="7">
        <v>20000</v>
      </c>
      <c r="H18" s="7" t="str">
        <f t="shared" si="1"/>
        <v>Medium</v>
      </c>
      <c r="I18" s="5" t="s">
        <v>12</v>
      </c>
      <c r="J18" s="5" t="s">
        <v>9</v>
      </c>
      <c r="K18" s="5" t="s">
        <v>19</v>
      </c>
      <c r="L18" s="28" t="s">
        <v>5</v>
      </c>
    </row>
    <row r="19" spans="1:12" ht="15.75" customHeight="1" x14ac:dyDescent="0.25">
      <c r="A19" s="30">
        <v>18</v>
      </c>
      <c r="B19" s="27" t="s">
        <v>2</v>
      </c>
      <c r="C19" s="8" t="s">
        <v>3</v>
      </c>
      <c r="D19" s="11" t="s">
        <v>22</v>
      </c>
      <c r="E19" s="36">
        <v>10</v>
      </c>
      <c r="F19" s="6" t="str">
        <f t="shared" si="0"/>
        <v>Frequent</v>
      </c>
      <c r="G19" s="9">
        <v>100000</v>
      </c>
      <c r="H19" s="7" t="str">
        <f t="shared" si="1"/>
        <v>High</v>
      </c>
      <c r="I19" s="5" t="s">
        <v>12</v>
      </c>
      <c r="J19" s="8" t="s">
        <v>9</v>
      </c>
      <c r="K19" s="8" t="s">
        <v>16</v>
      </c>
      <c r="L19" s="29" t="s">
        <v>15</v>
      </c>
    </row>
    <row r="20" spans="1:12" ht="15.75" customHeight="1" x14ac:dyDescent="0.25">
      <c r="A20" s="30">
        <v>19</v>
      </c>
      <c r="B20" s="26" t="s">
        <v>6</v>
      </c>
      <c r="C20" s="5" t="s">
        <v>7</v>
      </c>
      <c r="D20" s="10" t="s">
        <v>8</v>
      </c>
      <c r="E20" s="35">
        <v>2</v>
      </c>
      <c r="F20" s="6" t="str">
        <f t="shared" si="0"/>
        <v>Occasional</v>
      </c>
      <c r="G20" s="7">
        <v>80000</v>
      </c>
      <c r="H20" s="7" t="str">
        <f t="shared" si="1"/>
        <v>High</v>
      </c>
      <c r="I20" s="5" t="s">
        <v>25</v>
      </c>
      <c r="J20" s="5" t="s">
        <v>18</v>
      </c>
      <c r="K20" s="5" t="s">
        <v>19</v>
      </c>
      <c r="L20" s="28" t="s">
        <v>5</v>
      </c>
    </row>
    <row r="21" spans="1:12" ht="12.5" x14ac:dyDescent="0.25">
      <c r="A21" s="30">
        <v>20</v>
      </c>
      <c r="B21" s="27" t="s">
        <v>2</v>
      </c>
      <c r="C21" s="8" t="s">
        <v>7</v>
      </c>
      <c r="D21" s="11" t="s">
        <v>22</v>
      </c>
      <c r="E21" s="36">
        <v>6</v>
      </c>
      <c r="F21" s="6" t="str">
        <f t="shared" si="0"/>
        <v>Frequent</v>
      </c>
      <c r="G21" s="9">
        <v>100000</v>
      </c>
      <c r="H21" s="7" t="str">
        <f t="shared" si="1"/>
        <v>High</v>
      </c>
      <c r="I21" s="5" t="s">
        <v>23</v>
      </c>
      <c r="J21" s="8" t="s">
        <v>9</v>
      </c>
      <c r="K21" s="8" t="s">
        <v>13</v>
      </c>
      <c r="L21" s="29" t="s">
        <v>17</v>
      </c>
    </row>
    <row r="22" spans="1:12" ht="12.5" x14ac:dyDescent="0.25">
      <c r="A22" s="30">
        <v>21</v>
      </c>
      <c r="B22" s="26" t="s">
        <v>2</v>
      </c>
      <c r="C22" s="5" t="s">
        <v>24</v>
      </c>
      <c r="D22" s="10" t="s">
        <v>8</v>
      </c>
      <c r="E22" s="35">
        <v>2</v>
      </c>
      <c r="F22" s="6" t="str">
        <f t="shared" si="0"/>
        <v>Occasional</v>
      </c>
      <c r="G22" s="7">
        <v>50000</v>
      </c>
      <c r="H22" s="7" t="str">
        <f t="shared" si="1"/>
        <v>Medium</v>
      </c>
      <c r="I22" s="5" t="s">
        <v>12</v>
      </c>
      <c r="J22" s="5" t="s">
        <v>18</v>
      </c>
      <c r="K22" s="5" t="s">
        <v>16</v>
      </c>
      <c r="L22" s="28" t="s">
        <v>5</v>
      </c>
    </row>
    <row r="23" spans="1:12" ht="12.5" x14ac:dyDescent="0.25">
      <c r="A23" s="30">
        <v>22</v>
      </c>
      <c r="B23" s="27" t="s">
        <v>2</v>
      </c>
      <c r="C23" s="8" t="s">
        <v>7</v>
      </c>
      <c r="D23" s="11" t="s">
        <v>32</v>
      </c>
      <c r="E23" s="36">
        <v>3</v>
      </c>
      <c r="F23" s="6" t="str">
        <f t="shared" si="0"/>
        <v>Occasional</v>
      </c>
      <c r="G23" s="9">
        <v>300000</v>
      </c>
      <c r="H23" s="7" t="str">
        <f t="shared" si="1"/>
        <v>High</v>
      </c>
      <c r="I23" s="5" t="s">
        <v>12</v>
      </c>
      <c r="J23" s="8" t="s">
        <v>9</v>
      </c>
      <c r="K23" s="8" t="s">
        <v>16</v>
      </c>
      <c r="L23" s="29" t="s">
        <v>15</v>
      </c>
    </row>
    <row r="24" spans="1:12" ht="12.5" x14ac:dyDescent="0.25">
      <c r="A24" s="30">
        <v>23</v>
      </c>
      <c r="B24" s="26" t="s">
        <v>6</v>
      </c>
      <c r="C24" s="5" t="s">
        <v>3</v>
      </c>
      <c r="D24" s="10" t="s">
        <v>21</v>
      </c>
      <c r="E24" s="35">
        <v>7</v>
      </c>
      <c r="F24" s="6" t="str">
        <f t="shared" si="0"/>
        <v>Frequent</v>
      </c>
      <c r="G24" s="7">
        <v>70000</v>
      </c>
      <c r="H24" s="7" t="str">
        <f t="shared" si="1"/>
        <v>High</v>
      </c>
      <c r="I24" s="5" t="s">
        <v>25</v>
      </c>
      <c r="J24" s="5" t="s">
        <v>9</v>
      </c>
      <c r="K24" s="5" t="s">
        <v>16</v>
      </c>
      <c r="L24" s="28" t="s">
        <v>20</v>
      </c>
    </row>
    <row r="25" spans="1:12" ht="12.5" x14ac:dyDescent="0.25">
      <c r="A25" s="30">
        <v>24</v>
      </c>
      <c r="B25" s="27" t="s">
        <v>2</v>
      </c>
      <c r="C25" s="8" t="s">
        <v>7</v>
      </c>
      <c r="D25" s="11" t="s">
        <v>34</v>
      </c>
      <c r="E25" s="36">
        <v>1</v>
      </c>
      <c r="F25" s="6" t="str">
        <f t="shared" si="0"/>
        <v>Occasional</v>
      </c>
      <c r="G25" s="9">
        <v>50000</v>
      </c>
      <c r="H25" s="7" t="str">
        <f t="shared" si="1"/>
        <v>Medium</v>
      </c>
      <c r="I25" s="5" t="s">
        <v>12</v>
      </c>
      <c r="J25" s="8" t="s">
        <v>9</v>
      </c>
      <c r="K25" s="8" t="s">
        <v>19</v>
      </c>
      <c r="L25" s="29" t="s">
        <v>5</v>
      </c>
    </row>
    <row r="26" spans="1:12" ht="12.5" x14ac:dyDescent="0.25">
      <c r="A26" s="30">
        <v>25</v>
      </c>
      <c r="B26" s="26" t="s">
        <v>2</v>
      </c>
      <c r="C26" s="5" t="s">
        <v>3</v>
      </c>
      <c r="D26" s="10" t="s">
        <v>8</v>
      </c>
      <c r="E26" s="35">
        <v>1</v>
      </c>
      <c r="F26" s="6" t="str">
        <f t="shared" si="0"/>
        <v>Occasional</v>
      </c>
      <c r="G26" s="7">
        <v>20000</v>
      </c>
      <c r="H26" s="7" t="str">
        <f t="shared" si="1"/>
        <v>Medium</v>
      </c>
      <c r="I26" s="5" t="s">
        <v>12</v>
      </c>
      <c r="J26" s="5" t="s">
        <v>9</v>
      </c>
      <c r="K26" s="5" t="s">
        <v>16</v>
      </c>
      <c r="L26" s="28" t="s">
        <v>5</v>
      </c>
    </row>
    <row r="27" spans="1:12" ht="12.5" x14ac:dyDescent="0.25">
      <c r="A27" s="30">
        <v>26</v>
      </c>
      <c r="B27" s="27" t="s">
        <v>6</v>
      </c>
      <c r="C27" s="8" t="s">
        <v>7</v>
      </c>
      <c r="D27" s="11" t="s">
        <v>8</v>
      </c>
      <c r="E27" s="36">
        <v>4</v>
      </c>
      <c r="F27" s="6" t="str">
        <f t="shared" si="0"/>
        <v>Occasional</v>
      </c>
      <c r="G27" s="9">
        <v>50000</v>
      </c>
      <c r="H27" s="7" t="str">
        <f t="shared" si="1"/>
        <v>Medium</v>
      </c>
      <c r="I27" s="5" t="s">
        <v>25</v>
      </c>
      <c r="J27" s="8" t="s">
        <v>9</v>
      </c>
      <c r="K27" s="8" t="s">
        <v>16</v>
      </c>
      <c r="L27" s="29" t="s">
        <v>15</v>
      </c>
    </row>
    <row r="28" spans="1:12" ht="12.5" x14ac:dyDescent="0.25">
      <c r="A28" s="30">
        <v>27</v>
      </c>
      <c r="B28" s="26" t="s">
        <v>6</v>
      </c>
      <c r="C28" s="5" t="s">
        <v>3</v>
      </c>
      <c r="D28" s="10" t="s">
        <v>8</v>
      </c>
      <c r="E28" s="35">
        <v>5</v>
      </c>
      <c r="F28" s="6" t="str">
        <f t="shared" si="0"/>
        <v>Frequent</v>
      </c>
      <c r="G28" s="7">
        <v>300000</v>
      </c>
      <c r="H28" s="7" t="str">
        <f t="shared" si="1"/>
        <v>High</v>
      </c>
      <c r="I28" s="5" t="s">
        <v>12</v>
      </c>
      <c r="J28" s="5" t="s">
        <v>9</v>
      </c>
      <c r="K28" s="5" t="s">
        <v>40</v>
      </c>
      <c r="L28" s="28" t="s">
        <v>17</v>
      </c>
    </row>
    <row r="29" spans="1:12" ht="12.5" x14ac:dyDescent="0.25">
      <c r="A29" s="30">
        <v>28</v>
      </c>
      <c r="B29" s="27" t="s">
        <v>6</v>
      </c>
      <c r="C29" s="8" t="s">
        <v>3</v>
      </c>
      <c r="D29" s="11" t="s">
        <v>8</v>
      </c>
      <c r="E29" s="36">
        <v>1</v>
      </c>
      <c r="F29" s="6" t="str">
        <f t="shared" si="0"/>
        <v>Occasional</v>
      </c>
      <c r="G29" s="9">
        <v>40000</v>
      </c>
      <c r="H29" s="7" t="str">
        <f t="shared" si="1"/>
        <v>Medium</v>
      </c>
      <c r="I29" s="5" t="s">
        <v>12</v>
      </c>
      <c r="J29" s="8" t="s">
        <v>9</v>
      </c>
      <c r="K29" s="8" t="s">
        <v>16</v>
      </c>
      <c r="L29" s="29" t="s">
        <v>17</v>
      </c>
    </row>
    <row r="30" spans="1:12" ht="12.5" x14ac:dyDescent="0.25">
      <c r="A30" s="30">
        <v>29</v>
      </c>
      <c r="B30" s="26" t="s">
        <v>6</v>
      </c>
      <c r="C30" s="5" t="s">
        <v>7</v>
      </c>
      <c r="D30" s="10" t="s">
        <v>8</v>
      </c>
      <c r="E30" s="35">
        <v>4</v>
      </c>
      <c r="F30" s="6" t="str">
        <f t="shared" si="0"/>
        <v>Occasional</v>
      </c>
      <c r="G30" s="7">
        <v>100000</v>
      </c>
      <c r="H30" s="7" t="str">
        <f t="shared" si="1"/>
        <v>High</v>
      </c>
      <c r="I30" s="5" t="s">
        <v>12</v>
      </c>
      <c r="J30" s="5" t="s">
        <v>4</v>
      </c>
      <c r="K30" s="5" t="s">
        <v>16</v>
      </c>
      <c r="L30" s="28" t="s">
        <v>5</v>
      </c>
    </row>
    <row r="31" spans="1:12" ht="12.5" x14ac:dyDescent="0.25">
      <c r="A31" s="30">
        <v>30</v>
      </c>
      <c r="B31" s="27" t="s">
        <v>6</v>
      </c>
      <c r="C31" s="8" t="s">
        <v>3</v>
      </c>
      <c r="D31" s="11" t="s">
        <v>21</v>
      </c>
      <c r="E31" s="36">
        <v>5</v>
      </c>
      <c r="F31" s="6" t="str">
        <f t="shared" si="0"/>
        <v>Frequent</v>
      </c>
      <c r="G31" s="9">
        <v>100000</v>
      </c>
      <c r="H31" s="7" t="str">
        <f t="shared" si="1"/>
        <v>High</v>
      </c>
      <c r="I31" s="5" t="s">
        <v>12</v>
      </c>
      <c r="J31" s="8" t="s">
        <v>9</v>
      </c>
      <c r="K31" s="8" t="s">
        <v>16</v>
      </c>
      <c r="L31" s="29" t="s">
        <v>5</v>
      </c>
    </row>
    <row r="32" spans="1:12" ht="12.5" x14ac:dyDescent="0.25">
      <c r="A32" s="30">
        <v>31</v>
      </c>
      <c r="B32" s="26" t="s">
        <v>2</v>
      </c>
      <c r="C32" s="5" t="s">
        <v>3</v>
      </c>
      <c r="D32" s="10" t="s">
        <v>8</v>
      </c>
      <c r="E32" s="35">
        <v>1</v>
      </c>
      <c r="F32" s="6" t="str">
        <f t="shared" si="0"/>
        <v>Occasional</v>
      </c>
      <c r="G32" s="7">
        <v>100000</v>
      </c>
      <c r="H32" s="7" t="str">
        <f t="shared" si="1"/>
        <v>High</v>
      </c>
      <c r="I32" s="5" t="s">
        <v>12</v>
      </c>
      <c r="J32" s="5" t="s">
        <v>9</v>
      </c>
      <c r="K32" s="5" t="s">
        <v>19</v>
      </c>
      <c r="L32" s="28" t="s">
        <v>5</v>
      </c>
    </row>
    <row r="33" spans="1:12" ht="12.5" x14ac:dyDescent="0.25">
      <c r="A33" s="30">
        <v>32</v>
      </c>
      <c r="B33" s="27" t="s">
        <v>2</v>
      </c>
      <c r="C33" s="8" t="s">
        <v>24</v>
      </c>
      <c r="D33" s="11" t="s">
        <v>8</v>
      </c>
      <c r="E33" s="36">
        <v>2</v>
      </c>
      <c r="F33" s="6" t="str">
        <f t="shared" si="0"/>
        <v>Occasional</v>
      </c>
      <c r="G33" s="9">
        <v>40000</v>
      </c>
      <c r="H33" s="7" t="str">
        <f t="shared" si="1"/>
        <v>Medium</v>
      </c>
      <c r="I33" s="5" t="s">
        <v>12</v>
      </c>
      <c r="J33" s="8" t="s">
        <v>9</v>
      </c>
      <c r="K33" s="8" t="s">
        <v>16</v>
      </c>
      <c r="L33" s="29" t="s">
        <v>15</v>
      </c>
    </row>
    <row r="34" spans="1:12" ht="12.5" x14ac:dyDescent="0.25">
      <c r="A34" s="30">
        <v>33</v>
      </c>
      <c r="B34" s="26" t="s">
        <v>2</v>
      </c>
      <c r="C34" s="5" t="s">
        <v>7</v>
      </c>
      <c r="D34" s="10" t="s">
        <v>29</v>
      </c>
      <c r="E34" s="35">
        <v>6</v>
      </c>
      <c r="F34" s="6" t="str">
        <f t="shared" si="0"/>
        <v>Frequent</v>
      </c>
      <c r="G34" s="7">
        <v>200000</v>
      </c>
      <c r="H34" s="7" t="str">
        <f t="shared" si="1"/>
        <v>High</v>
      </c>
      <c r="I34" s="5" t="s">
        <v>12</v>
      </c>
      <c r="J34" s="5" t="s">
        <v>9</v>
      </c>
      <c r="K34" s="5" t="s">
        <v>16</v>
      </c>
      <c r="L34" s="28" t="s">
        <v>15</v>
      </c>
    </row>
    <row r="35" spans="1:12" ht="12.5" x14ac:dyDescent="0.25">
      <c r="A35" s="30">
        <v>34</v>
      </c>
      <c r="B35" s="27" t="s">
        <v>6</v>
      </c>
      <c r="C35" s="8" t="s">
        <v>7</v>
      </c>
      <c r="D35" s="11" t="s">
        <v>8</v>
      </c>
      <c r="E35" s="36">
        <v>1</v>
      </c>
      <c r="F35" s="6" t="str">
        <f t="shared" si="0"/>
        <v>Occasional</v>
      </c>
      <c r="G35" s="9">
        <v>150000</v>
      </c>
      <c r="H35" s="7" t="str">
        <f t="shared" si="1"/>
        <v>High</v>
      </c>
      <c r="I35" s="5" t="s">
        <v>12</v>
      </c>
      <c r="J35" s="8" t="s">
        <v>9</v>
      </c>
      <c r="K35" s="8" t="s">
        <v>16</v>
      </c>
      <c r="L35" s="29" t="s">
        <v>5</v>
      </c>
    </row>
    <row r="36" spans="1:12" ht="12.5" x14ac:dyDescent="0.25">
      <c r="A36" s="30">
        <v>35</v>
      </c>
      <c r="B36" s="26" t="s">
        <v>6</v>
      </c>
      <c r="C36" s="5" t="s">
        <v>7</v>
      </c>
      <c r="D36" s="10" t="s">
        <v>8</v>
      </c>
      <c r="E36" s="35">
        <v>4</v>
      </c>
      <c r="F36" s="6" t="str">
        <f t="shared" si="0"/>
        <v>Occasional</v>
      </c>
      <c r="G36" s="7">
        <v>400000</v>
      </c>
      <c r="H36" s="7" t="str">
        <f t="shared" si="1"/>
        <v>High</v>
      </c>
      <c r="I36" s="5" t="s">
        <v>12</v>
      </c>
      <c r="J36" s="5" t="s">
        <v>9</v>
      </c>
      <c r="K36" s="5" t="s">
        <v>16</v>
      </c>
      <c r="L36" s="28" t="s">
        <v>5</v>
      </c>
    </row>
    <row r="37" spans="1:12" ht="12.5" x14ac:dyDescent="0.25">
      <c r="A37" s="30">
        <v>36</v>
      </c>
      <c r="B37" s="27" t="s">
        <v>6</v>
      </c>
      <c r="C37" s="8" t="s">
        <v>7</v>
      </c>
      <c r="D37" s="11" t="s">
        <v>8</v>
      </c>
      <c r="E37" s="36">
        <v>8</v>
      </c>
      <c r="F37" s="6" t="str">
        <f t="shared" si="0"/>
        <v>Frequent</v>
      </c>
      <c r="G37" s="9">
        <v>50000</v>
      </c>
      <c r="H37" s="7" t="str">
        <f t="shared" si="1"/>
        <v>Medium</v>
      </c>
      <c r="I37" s="5" t="s">
        <v>38</v>
      </c>
      <c r="J37" s="8" t="s">
        <v>18</v>
      </c>
      <c r="K37" s="8" t="s">
        <v>10</v>
      </c>
      <c r="L37" s="29" t="s">
        <v>14</v>
      </c>
    </row>
    <row r="38" spans="1:12" ht="12.5" x14ac:dyDescent="0.25">
      <c r="A38" s="30">
        <v>37</v>
      </c>
      <c r="B38" s="26" t="s">
        <v>2</v>
      </c>
      <c r="C38" s="5" t="s">
        <v>3</v>
      </c>
      <c r="D38" s="10" t="s">
        <v>8</v>
      </c>
      <c r="E38" s="35">
        <v>3</v>
      </c>
      <c r="F38" s="6" t="str">
        <f t="shared" si="0"/>
        <v>Occasional</v>
      </c>
      <c r="G38" s="7">
        <v>200000</v>
      </c>
      <c r="H38" s="7" t="str">
        <f t="shared" si="1"/>
        <v>High</v>
      </c>
      <c r="I38" s="5" t="s">
        <v>12</v>
      </c>
      <c r="J38" s="5" t="s">
        <v>18</v>
      </c>
      <c r="K38" s="5" t="s">
        <v>16</v>
      </c>
      <c r="L38" s="28" t="s">
        <v>5</v>
      </c>
    </row>
    <row r="39" spans="1:12" ht="12.5" x14ac:dyDescent="0.25">
      <c r="A39" s="30">
        <v>38</v>
      </c>
      <c r="B39" s="27" t="s">
        <v>2</v>
      </c>
      <c r="C39" s="8" t="s">
        <v>7</v>
      </c>
      <c r="D39" s="11" t="s">
        <v>35</v>
      </c>
      <c r="E39" s="36">
        <v>1</v>
      </c>
      <c r="F39" s="6" t="str">
        <f t="shared" si="0"/>
        <v>Occasional</v>
      </c>
      <c r="G39" s="9">
        <v>30000</v>
      </c>
      <c r="H39" s="7" t="str">
        <f t="shared" si="1"/>
        <v>Medium</v>
      </c>
      <c r="I39" s="5" t="s">
        <v>12</v>
      </c>
      <c r="J39" s="8" t="s">
        <v>9</v>
      </c>
      <c r="K39" s="8" t="s">
        <v>19</v>
      </c>
      <c r="L39" s="29" t="s">
        <v>20</v>
      </c>
    </row>
    <row r="40" spans="1:12" ht="12.5" x14ac:dyDescent="0.25">
      <c r="A40" s="30">
        <v>39</v>
      </c>
      <c r="B40" s="26" t="s">
        <v>6</v>
      </c>
      <c r="C40" s="5" t="s">
        <v>7</v>
      </c>
      <c r="D40" s="10" t="s">
        <v>21</v>
      </c>
      <c r="E40" s="35">
        <v>2</v>
      </c>
      <c r="F40" s="6" t="str">
        <f t="shared" si="0"/>
        <v>Occasional</v>
      </c>
      <c r="G40" s="7">
        <v>100000</v>
      </c>
      <c r="H40" s="7" t="str">
        <f t="shared" si="1"/>
        <v>High</v>
      </c>
      <c r="I40" s="5" t="s">
        <v>12</v>
      </c>
      <c r="J40" s="5" t="s">
        <v>9</v>
      </c>
      <c r="K40" s="5" t="s">
        <v>16</v>
      </c>
      <c r="L40" s="28" t="s">
        <v>5</v>
      </c>
    </row>
    <row r="41" spans="1:12" ht="12.5" x14ac:dyDescent="0.25">
      <c r="A41" s="30">
        <v>40</v>
      </c>
      <c r="B41" s="27" t="s">
        <v>2</v>
      </c>
      <c r="C41" s="8" t="s">
        <v>7</v>
      </c>
      <c r="D41" s="11" t="s">
        <v>21</v>
      </c>
      <c r="E41" s="36">
        <v>5</v>
      </c>
      <c r="F41" s="6" t="str">
        <f t="shared" si="0"/>
        <v>Frequent</v>
      </c>
      <c r="G41" s="9">
        <v>100000</v>
      </c>
      <c r="H41" s="7" t="str">
        <f t="shared" si="1"/>
        <v>High</v>
      </c>
      <c r="I41" s="5" t="s">
        <v>12</v>
      </c>
      <c r="J41" s="8" t="s">
        <v>9</v>
      </c>
      <c r="K41" s="8" t="s">
        <v>16</v>
      </c>
      <c r="L41" s="29" t="s">
        <v>5</v>
      </c>
    </row>
    <row r="42" spans="1:12" ht="12.5" x14ac:dyDescent="0.25">
      <c r="A42" s="30">
        <v>41</v>
      </c>
      <c r="B42" s="26" t="s">
        <v>6</v>
      </c>
      <c r="C42" s="5" t="s">
        <v>3</v>
      </c>
      <c r="D42" s="10" t="s">
        <v>8</v>
      </c>
      <c r="E42" s="35">
        <v>3</v>
      </c>
      <c r="F42" s="6" t="str">
        <f t="shared" si="0"/>
        <v>Occasional</v>
      </c>
      <c r="G42" s="7">
        <v>180000</v>
      </c>
      <c r="H42" s="7" t="str">
        <f t="shared" si="1"/>
        <v>High</v>
      </c>
      <c r="I42" s="5" t="s">
        <v>12</v>
      </c>
      <c r="J42" s="5" t="s">
        <v>9</v>
      </c>
      <c r="K42" s="5" t="s">
        <v>16</v>
      </c>
      <c r="L42" s="28" t="s">
        <v>5</v>
      </c>
    </row>
    <row r="43" spans="1:12" ht="12.5" x14ac:dyDescent="0.25">
      <c r="A43" s="30">
        <v>42</v>
      </c>
      <c r="B43" s="27" t="s">
        <v>2</v>
      </c>
      <c r="C43" s="8" t="s">
        <v>3</v>
      </c>
      <c r="D43" s="11" t="s">
        <v>8</v>
      </c>
      <c r="E43" s="36">
        <v>1</v>
      </c>
      <c r="F43" s="6" t="str">
        <f t="shared" si="0"/>
        <v>Occasional</v>
      </c>
      <c r="G43" s="9">
        <v>100000</v>
      </c>
      <c r="H43" s="7" t="str">
        <f t="shared" si="1"/>
        <v>High</v>
      </c>
      <c r="I43" s="5" t="s">
        <v>39</v>
      </c>
      <c r="J43" s="8" t="s">
        <v>9</v>
      </c>
      <c r="K43" s="8" t="s">
        <v>16</v>
      </c>
      <c r="L43" s="29" t="s">
        <v>15</v>
      </c>
    </row>
    <row r="44" spans="1:12" ht="12.5" x14ac:dyDescent="0.25">
      <c r="A44" s="30">
        <v>43</v>
      </c>
      <c r="B44" s="26" t="s">
        <v>2</v>
      </c>
      <c r="C44" s="5" t="s">
        <v>3</v>
      </c>
      <c r="D44" s="10" t="s">
        <v>8</v>
      </c>
      <c r="E44" s="35">
        <v>6</v>
      </c>
      <c r="F44" s="6" t="str">
        <f t="shared" si="0"/>
        <v>Frequent</v>
      </c>
      <c r="G44" s="7">
        <v>500000</v>
      </c>
      <c r="H44" s="7" t="str">
        <f t="shared" si="1"/>
        <v>High</v>
      </c>
      <c r="I44" s="5" t="s">
        <v>23</v>
      </c>
      <c r="J44" s="5" t="s">
        <v>9</v>
      </c>
      <c r="K44" s="5" t="s">
        <v>16</v>
      </c>
      <c r="L44" s="28" t="s">
        <v>5</v>
      </c>
    </row>
    <row r="45" spans="1:12" ht="12.5" x14ac:dyDescent="0.25">
      <c r="A45" s="30">
        <v>44</v>
      </c>
      <c r="B45" s="27" t="s">
        <v>2</v>
      </c>
      <c r="C45" s="8" t="s">
        <v>3</v>
      </c>
      <c r="D45" s="11" t="s">
        <v>8</v>
      </c>
      <c r="E45" s="36">
        <v>10</v>
      </c>
      <c r="F45" s="6" t="str">
        <f t="shared" si="0"/>
        <v>Frequent</v>
      </c>
      <c r="G45" s="9">
        <v>100000</v>
      </c>
      <c r="H45" s="7" t="str">
        <f t="shared" si="1"/>
        <v>High</v>
      </c>
      <c r="I45" s="5" t="s">
        <v>25</v>
      </c>
      <c r="J45" s="8" t="s">
        <v>9</v>
      </c>
      <c r="K45" s="8" t="s">
        <v>16</v>
      </c>
      <c r="L45" s="29" t="s">
        <v>14</v>
      </c>
    </row>
    <row r="46" spans="1:12" ht="12.5" x14ac:dyDescent="0.25">
      <c r="A46" s="30">
        <v>45</v>
      </c>
      <c r="B46" s="26" t="s">
        <v>6</v>
      </c>
      <c r="C46" s="5" t="s">
        <v>7</v>
      </c>
      <c r="D46" s="10" t="s">
        <v>8</v>
      </c>
      <c r="E46" s="35">
        <v>8</v>
      </c>
      <c r="F46" s="6" t="str">
        <f t="shared" si="0"/>
        <v>Frequent</v>
      </c>
      <c r="G46" s="7">
        <v>250000</v>
      </c>
      <c r="H46" s="7" t="str">
        <f t="shared" si="1"/>
        <v>High</v>
      </c>
      <c r="I46" s="5" t="s">
        <v>12</v>
      </c>
      <c r="J46" s="5" t="s">
        <v>9</v>
      </c>
      <c r="K46" s="5" t="s">
        <v>16</v>
      </c>
      <c r="L46" s="28" t="s">
        <v>17</v>
      </c>
    </row>
    <row r="47" spans="1:12" ht="12.5" x14ac:dyDescent="0.25">
      <c r="A47" s="30">
        <v>46</v>
      </c>
      <c r="B47" s="27" t="s">
        <v>2</v>
      </c>
      <c r="C47" s="8" t="s">
        <v>7</v>
      </c>
      <c r="D47" s="11" t="s">
        <v>8</v>
      </c>
      <c r="E47" s="36">
        <v>4</v>
      </c>
      <c r="F47" s="6" t="str">
        <f t="shared" si="0"/>
        <v>Occasional</v>
      </c>
      <c r="G47" s="9">
        <v>350000</v>
      </c>
      <c r="H47" s="7" t="str">
        <f t="shared" si="1"/>
        <v>High</v>
      </c>
      <c r="I47" s="5" t="s">
        <v>12</v>
      </c>
      <c r="J47" s="8" t="s">
        <v>9</v>
      </c>
      <c r="K47" s="8" t="s">
        <v>16</v>
      </c>
      <c r="L47" s="29" t="s">
        <v>5</v>
      </c>
    </row>
    <row r="48" spans="1:12" ht="12.5" x14ac:dyDescent="0.25">
      <c r="A48" s="30">
        <v>47</v>
      </c>
      <c r="B48" s="26" t="s">
        <v>6</v>
      </c>
      <c r="C48" s="5" t="s">
        <v>3</v>
      </c>
      <c r="D48" s="10" t="s">
        <v>8</v>
      </c>
      <c r="E48" s="35">
        <v>2</v>
      </c>
      <c r="F48" s="6" t="str">
        <f t="shared" si="0"/>
        <v>Occasional</v>
      </c>
      <c r="G48" s="7">
        <v>50000</v>
      </c>
      <c r="H48" s="7" t="str">
        <f t="shared" si="1"/>
        <v>Medium</v>
      </c>
      <c r="I48" s="5" t="s">
        <v>12</v>
      </c>
      <c r="J48" s="5" t="s">
        <v>18</v>
      </c>
      <c r="K48" s="5" t="s">
        <v>16</v>
      </c>
      <c r="L48" s="28" t="s">
        <v>5</v>
      </c>
    </row>
    <row r="49" spans="1:12" ht="12.5" x14ac:dyDescent="0.25">
      <c r="A49" s="30">
        <v>48</v>
      </c>
      <c r="B49" s="27" t="s">
        <v>2</v>
      </c>
      <c r="C49" s="8" t="s">
        <v>3</v>
      </c>
      <c r="D49" s="11" t="s">
        <v>8</v>
      </c>
      <c r="E49" s="36">
        <v>2</v>
      </c>
      <c r="F49" s="6" t="str">
        <f t="shared" si="0"/>
        <v>Occasional</v>
      </c>
      <c r="G49" s="9">
        <v>60000</v>
      </c>
      <c r="H49" s="7" t="str">
        <f t="shared" si="1"/>
        <v>High</v>
      </c>
      <c r="I49" s="5" t="s">
        <v>12</v>
      </c>
      <c r="J49" s="8" t="s">
        <v>9</v>
      </c>
      <c r="K49" s="8" t="s">
        <v>16</v>
      </c>
      <c r="L49" s="29" t="s">
        <v>5</v>
      </c>
    </row>
    <row r="50" spans="1:12" ht="12.5" x14ac:dyDescent="0.25">
      <c r="A50" s="30">
        <v>49</v>
      </c>
      <c r="B50" s="26" t="s">
        <v>6</v>
      </c>
      <c r="C50" s="5" t="s">
        <v>3</v>
      </c>
      <c r="D50" s="10" t="s">
        <v>8</v>
      </c>
      <c r="E50" s="35">
        <v>2</v>
      </c>
      <c r="F50" s="6" t="str">
        <f t="shared" si="0"/>
        <v>Occasional</v>
      </c>
      <c r="G50" s="7">
        <v>50000</v>
      </c>
      <c r="H50" s="7" t="str">
        <f t="shared" si="1"/>
        <v>Medium</v>
      </c>
      <c r="I50" s="5" t="s">
        <v>12</v>
      </c>
      <c r="J50" s="5" t="s">
        <v>9</v>
      </c>
      <c r="K50" s="5" t="s">
        <v>19</v>
      </c>
      <c r="L50" s="28" t="s">
        <v>20</v>
      </c>
    </row>
    <row r="51" spans="1:12" ht="12.5" x14ac:dyDescent="0.25">
      <c r="A51" s="30">
        <v>50</v>
      </c>
      <c r="B51" s="27" t="s">
        <v>6</v>
      </c>
      <c r="C51" s="8" t="s">
        <v>3</v>
      </c>
      <c r="D51" s="11" t="s">
        <v>33</v>
      </c>
      <c r="E51" s="36">
        <v>5</v>
      </c>
      <c r="F51" s="6" t="str">
        <f t="shared" si="0"/>
        <v>Frequent</v>
      </c>
      <c r="G51" s="9">
        <v>30000</v>
      </c>
      <c r="H51" s="7" t="str">
        <f t="shared" si="1"/>
        <v>Medium</v>
      </c>
      <c r="I51" s="5" t="s">
        <v>12</v>
      </c>
      <c r="J51" s="8" t="s">
        <v>9</v>
      </c>
      <c r="K51" s="8" t="s">
        <v>16</v>
      </c>
      <c r="L51" s="29" t="s">
        <v>5</v>
      </c>
    </row>
    <row r="52" spans="1:12" ht="12.5" x14ac:dyDescent="0.25">
      <c r="A52" s="30">
        <v>51</v>
      </c>
      <c r="B52" s="26" t="s">
        <v>6</v>
      </c>
      <c r="C52" s="5" t="s">
        <v>7</v>
      </c>
      <c r="D52" s="10" t="s">
        <v>28</v>
      </c>
      <c r="E52" s="35">
        <v>5</v>
      </c>
      <c r="F52" s="6" t="str">
        <f t="shared" si="0"/>
        <v>Frequent</v>
      </c>
      <c r="G52" s="7">
        <v>100000</v>
      </c>
      <c r="H52" s="7" t="str">
        <f t="shared" si="1"/>
        <v>High</v>
      </c>
      <c r="I52" s="5" t="s">
        <v>23</v>
      </c>
      <c r="J52" s="5" t="s">
        <v>4</v>
      </c>
      <c r="K52" s="5" t="s">
        <v>16</v>
      </c>
      <c r="L52" s="28" t="s">
        <v>20</v>
      </c>
    </row>
    <row r="53" spans="1:12" ht="12.5" x14ac:dyDescent="0.25">
      <c r="A53" s="30">
        <v>52</v>
      </c>
      <c r="B53" s="27" t="s">
        <v>2</v>
      </c>
      <c r="C53" s="8" t="s">
        <v>3</v>
      </c>
      <c r="D53" s="11" t="s">
        <v>8</v>
      </c>
      <c r="E53" s="36">
        <v>1</v>
      </c>
      <c r="F53" s="6" t="str">
        <f t="shared" si="0"/>
        <v>Occasional</v>
      </c>
      <c r="G53" s="9">
        <v>40000</v>
      </c>
      <c r="H53" s="7" t="str">
        <f t="shared" si="1"/>
        <v>Medium</v>
      </c>
      <c r="I53" s="5" t="s">
        <v>12</v>
      </c>
      <c r="J53" s="8" t="s">
        <v>9</v>
      </c>
      <c r="K53" s="8" t="s">
        <v>19</v>
      </c>
      <c r="L53" s="29" t="s">
        <v>14</v>
      </c>
    </row>
    <row r="54" spans="1:12" ht="12.5" x14ac:dyDescent="0.25">
      <c r="A54" s="30">
        <v>53</v>
      </c>
      <c r="B54" s="26" t="s">
        <v>2</v>
      </c>
      <c r="C54" s="5" t="s">
        <v>3</v>
      </c>
      <c r="D54" s="10" t="s">
        <v>8</v>
      </c>
      <c r="E54" s="35">
        <v>5</v>
      </c>
      <c r="F54" s="6" t="str">
        <f t="shared" si="0"/>
        <v>Frequent</v>
      </c>
      <c r="G54" s="7">
        <v>50000</v>
      </c>
      <c r="H54" s="7" t="str">
        <f t="shared" si="1"/>
        <v>Medium</v>
      </c>
      <c r="I54" s="5" t="s">
        <v>39</v>
      </c>
      <c r="J54" s="5" t="s">
        <v>9</v>
      </c>
      <c r="K54" s="5" t="s">
        <v>19</v>
      </c>
      <c r="L54" s="28" t="s">
        <v>5</v>
      </c>
    </row>
    <row r="55" spans="1:12" ht="12.5" x14ac:dyDescent="0.25">
      <c r="A55" s="30">
        <v>54</v>
      </c>
      <c r="B55" s="27" t="s">
        <v>2</v>
      </c>
      <c r="C55" s="8" t="s">
        <v>3</v>
      </c>
      <c r="D55" s="11" t="s">
        <v>8</v>
      </c>
      <c r="E55" s="36">
        <v>1</v>
      </c>
      <c r="F55" s="6" t="str">
        <f t="shared" si="0"/>
        <v>Occasional</v>
      </c>
      <c r="G55" s="9">
        <v>200000</v>
      </c>
      <c r="H55" s="7" t="str">
        <f t="shared" si="1"/>
        <v>High</v>
      </c>
      <c r="I55" s="5" t="s">
        <v>12</v>
      </c>
      <c r="J55" s="8" t="s">
        <v>9</v>
      </c>
      <c r="K55" s="8" t="s">
        <v>19</v>
      </c>
      <c r="L55" s="29" t="s">
        <v>15</v>
      </c>
    </row>
    <row r="56" spans="1:12" ht="12.5" x14ac:dyDescent="0.25">
      <c r="A56" s="30">
        <v>55</v>
      </c>
      <c r="B56" s="26" t="s">
        <v>6</v>
      </c>
      <c r="C56" s="5" t="s">
        <v>3</v>
      </c>
      <c r="D56" s="10" t="s">
        <v>8</v>
      </c>
      <c r="E56" s="35">
        <v>2</v>
      </c>
      <c r="F56" s="6" t="str">
        <f t="shared" si="0"/>
        <v>Occasional</v>
      </c>
      <c r="G56" s="7">
        <v>50000</v>
      </c>
      <c r="H56" s="7" t="str">
        <f t="shared" si="1"/>
        <v>Medium</v>
      </c>
      <c r="I56" s="5" t="s">
        <v>23</v>
      </c>
      <c r="J56" s="5" t="s">
        <v>9</v>
      </c>
      <c r="K56" s="5" t="s">
        <v>19</v>
      </c>
      <c r="L56" s="28" t="s">
        <v>20</v>
      </c>
    </row>
    <row r="57" spans="1:12" ht="12.5" x14ac:dyDescent="0.25">
      <c r="A57" s="30">
        <v>56</v>
      </c>
      <c r="B57" s="27" t="s">
        <v>2</v>
      </c>
      <c r="C57" s="8" t="s">
        <v>24</v>
      </c>
      <c r="D57" s="11" t="s">
        <v>21</v>
      </c>
      <c r="E57" s="36">
        <v>2</v>
      </c>
      <c r="F57" s="6" t="str">
        <f t="shared" si="0"/>
        <v>Occasional</v>
      </c>
      <c r="G57" s="9">
        <v>20000</v>
      </c>
      <c r="H57" s="7" t="str">
        <f t="shared" si="1"/>
        <v>Medium</v>
      </c>
      <c r="I57" s="5" t="s">
        <v>12</v>
      </c>
      <c r="J57" s="8" t="s">
        <v>9</v>
      </c>
      <c r="K57" s="8" t="s">
        <v>16</v>
      </c>
      <c r="L57" s="29" t="s">
        <v>20</v>
      </c>
    </row>
    <row r="58" spans="1:12" ht="12.5" x14ac:dyDescent="0.25">
      <c r="A58" s="30">
        <v>57</v>
      </c>
      <c r="B58" s="26" t="s">
        <v>2</v>
      </c>
      <c r="C58" s="5" t="s">
        <v>3</v>
      </c>
      <c r="D58" s="10" t="s">
        <v>8</v>
      </c>
      <c r="E58" s="35">
        <v>7</v>
      </c>
      <c r="F58" s="6" t="str">
        <f t="shared" si="0"/>
        <v>Frequent</v>
      </c>
      <c r="G58" s="7">
        <v>100000</v>
      </c>
      <c r="H58" s="7" t="str">
        <f t="shared" si="1"/>
        <v>High</v>
      </c>
      <c r="I58" s="5" t="s">
        <v>12</v>
      </c>
      <c r="J58" s="5" t="s">
        <v>9</v>
      </c>
      <c r="K58" s="5" t="s">
        <v>19</v>
      </c>
      <c r="L58" s="28" t="s">
        <v>5</v>
      </c>
    </row>
    <row r="59" spans="1:12" ht="12.5" x14ac:dyDescent="0.25">
      <c r="A59" s="30">
        <v>58</v>
      </c>
      <c r="B59" s="27" t="s">
        <v>6</v>
      </c>
      <c r="C59" s="8" t="s">
        <v>7</v>
      </c>
      <c r="D59" s="11" t="s">
        <v>11</v>
      </c>
      <c r="E59" s="36">
        <v>2</v>
      </c>
      <c r="F59" s="6" t="str">
        <f t="shared" si="0"/>
        <v>Occasional</v>
      </c>
      <c r="G59" s="9">
        <v>150000</v>
      </c>
      <c r="H59" s="7" t="str">
        <f t="shared" si="1"/>
        <v>High</v>
      </c>
      <c r="I59" s="5" t="s">
        <v>38</v>
      </c>
      <c r="J59" s="8" t="s">
        <v>9</v>
      </c>
      <c r="K59" s="8" t="s">
        <v>19</v>
      </c>
      <c r="L59" s="29" t="s">
        <v>5</v>
      </c>
    </row>
    <row r="60" spans="1:12" ht="12.5" x14ac:dyDescent="0.25">
      <c r="A60" s="30">
        <v>59</v>
      </c>
      <c r="B60" s="26" t="s">
        <v>2</v>
      </c>
      <c r="C60" s="5" t="s">
        <v>3</v>
      </c>
      <c r="D60" s="10" t="s">
        <v>26</v>
      </c>
      <c r="E60" s="35">
        <v>2</v>
      </c>
      <c r="F60" s="6" t="str">
        <f t="shared" si="0"/>
        <v>Occasional</v>
      </c>
      <c r="G60" s="7">
        <v>50000</v>
      </c>
      <c r="H60" s="7" t="str">
        <f t="shared" si="1"/>
        <v>Medium</v>
      </c>
      <c r="I60" s="5" t="s">
        <v>12</v>
      </c>
      <c r="J60" s="5" t="s">
        <v>9</v>
      </c>
      <c r="K60" s="5" t="s">
        <v>16</v>
      </c>
      <c r="L60" s="28" t="s">
        <v>5</v>
      </c>
    </row>
    <row r="61" spans="1:12" ht="12.5" x14ac:dyDescent="0.25">
      <c r="A61" s="30">
        <v>60</v>
      </c>
      <c r="B61" s="27" t="s">
        <v>2</v>
      </c>
      <c r="C61" s="8" t="s">
        <v>3</v>
      </c>
      <c r="D61" s="11" t="s">
        <v>8</v>
      </c>
      <c r="E61" s="36">
        <v>5</v>
      </c>
      <c r="F61" s="6" t="str">
        <f t="shared" si="0"/>
        <v>Frequent</v>
      </c>
      <c r="G61" s="9">
        <v>200000</v>
      </c>
      <c r="H61" s="7" t="str">
        <f t="shared" si="1"/>
        <v>High</v>
      </c>
      <c r="I61" s="5" t="s">
        <v>12</v>
      </c>
      <c r="J61" s="8" t="s">
        <v>18</v>
      </c>
      <c r="K61" s="8" t="s">
        <v>16</v>
      </c>
      <c r="L61" s="29" t="s">
        <v>5</v>
      </c>
    </row>
    <row r="62" spans="1:12" ht="12.5" x14ac:dyDescent="0.25">
      <c r="A62" s="30">
        <v>61</v>
      </c>
      <c r="B62" s="26" t="s">
        <v>2</v>
      </c>
      <c r="C62" s="5" t="s">
        <v>3</v>
      </c>
      <c r="D62" s="10" t="s">
        <v>33</v>
      </c>
      <c r="E62" s="35">
        <v>1</v>
      </c>
      <c r="F62" s="6" t="str">
        <f t="shared" si="0"/>
        <v>Occasional</v>
      </c>
      <c r="G62" s="7">
        <v>200000</v>
      </c>
      <c r="H62" s="7" t="str">
        <f t="shared" si="1"/>
        <v>High</v>
      </c>
      <c r="I62" s="5" t="s">
        <v>23</v>
      </c>
      <c r="J62" s="5" t="s">
        <v>9</v>
      </c>
      <c r="K62" s="5" t="s">
        <v>13</v>
      </c>
      <c r="L62" s="28" t="s">
        <v>20</v>
      </c>
    </row>
    <row r="63" spans="1:12" ht="12.5" x14ac:dyDescent="0.25">
      <c r="A63" s="30">
        <v>62</v>
      </c>
      <c r="B63" s="27" t="s">
        <v>2</v>
      </c>
      <c r="C63" s="8" t="s">
        <v>7</v>
      </c>
      <c r="D63" s="11" t="s">
        <v>36</v>
      </c>
      <c r="E63" s="36">
        <v>2</v>
      </c>
      <c r="F63" s="6" t="str">
        <f t="shared" si="0"/>
        <v>Occasional</v>
      </c>
      <c r="G63" s="9">
        <v>200000</v>
      </c>
      <c r="H63" s="7" t="str">
        <f t="shared" si="1"/>
        <v>High</v>
      </c>
      <c r="I63" s="5" t="s">
        <v>12</v>
      </c>
      <c r="J63" s="8" t="s">
        <v>9</v>
      </c>
      <c r="K63" s="8" t="s">
        <v>16</v>
      </c>
      <c r="L63" s="29" t="s">
        <v>5</v>
      </c>
    </row>
    <row r="64" spans="1:12" ht="12.5" x14ac:dyDescent="0.25">
      <c r="A64" s="30">
        <v>63</v>
      </c>
      <c r="B64" s="26" t="s">
        <v>2</v>
      </c>
      <c r="C64" s="5" t="s">
        <v>7</v>
      </c>
      <c r="D64" s="10" t="s">
        <v>8</v>
      </c>
      <c r="E64" s="35">
        <v>2</v>
      </c>
      <c r="F64" s="6" t="str">
        <f t="shared" si="0"/>
        <v>Occasional</v>
      </c>
      <c r="G64" s="7">
        <v>100000</v>
      </c>
      <c r="H64" s="7" t="str">
        <f t="shared" si="1"/>
        <v>High</v>
      </c>
      <c r="I64" s="5" t="s">
        <v>12</v>
      </c>
      <c r="J64" s="5" t="s">
        <v>9</v>
      </c>
      <c r="K64" s="5" t="s">
        <v>19</v>
      </c>
      <c r="L64" s="28" t="s">
        <v>5</v>
      </c>
    </row>
    <row r="65" spans="1:12" ht="12.5" x14ac:dyDescent="0.25">
      <c r="A65" s="30">
        <v>64</v>
      </c>
      <c r="B65" s="27" t="s">
        <v>2</v>
      </c>
      <c r="C65" s="8" t="s">
        <v>24</v>
      </c>
      <c r="D65" s="11" t="s">
        <v>8</v>
      </c>
      <c r="E65" s="36">
        <v>3</v>
      </c>
      <c r="F65" s="6" t="str">
        <f t="shared" si="0"/>
        <v>Occasional</v>
      </c>
      <c r="G65" s="9">
        <v>1000000</v>
      </c>
      <c r="H65" s="7" t="str">
        <f t="shared" si="1"/>
        <v>High</v>
      </c>
      <c r="I65" s="5" t="s">
        <v>12</v>
      </c>
      <c r="J65" s="8" t="s">
        <v>9</v>
      </c>
      <c r="K65" s="8" t="s">
        <v>16</v>
      </c>
      <c r="L65" s="29" t="s">
        <v>5</v>
      </c>
    </row>
    <row r="66" spans="1:12" ht="12.5" x14ac:dyDescent="0.25">
      <c r="A66" s="30">
        <v>65</v>
      </c>
      <c r="B66" s="26" t="s">
        <v>2</v>
      </c>
      <c r="C66" s="5" t="s">
        <v>3</v>
      </c>
      <c r="D66" s="10" t="s">
        <v>8</v>
      </c>
      <c r="E66" s="35">
        <v>1</v>
      </c>
      <c r="F66" s="6" t="str">
        <f t="shared" si="0"/>
        <v>Occasional</v>
      </c>
      <c r="G66" s="7">
        <v>10000</v>
      </c>
      <c r="H66" s="7" t="str">
        <f t="shared" si="1"/>
        <v>Low</v>
      </c>
      <c r="I66" s="5" t="s">
        <v>12</v>
      </c>
      <c r="J66" s="5" t="s">
        <v>9</v>
      </c>
      <c r="K66" s="5" t="s">
        <v>19</v>
      </c>
      <c r="L66" s="28" t="s">
        <v>5</v>
      </c>
    </row>
    <row r="67" spans="1:12" ht="12.5" x14ac:dyDescent="0.25">
      <c r="A67" s="30">
        <v>66</v>
      </c>
      <c r="B67" s="27" t="s">
        <v>2</v>
      </c>
      <c r="C67" s="8" t="s">
        <v>3</v>
      </c>
      <c r="D67" s="11" t="s">
        <v>8</v>
      </c>
      <c r="E67" s="36">
        <v>5</v>
      </c>
      <c r="F67" s="6" t="str">
        <f t="shared" ref="F67:F108" si="2">IF(E67&gt;=5,"Frequent","Occasional")</f>
        <v>Frequent</v>
      </c>
      <c r="G67" s="9">
        <v>25000</v>
      </c>
      <c r="H67" s="7" t="str">
        <f t="shared" ref="H67:H108" si="3">IF(G67&lt;20000,"Low",IF(G67&lt;=50000,"Medium","High"))</f>
        <v>Medium</v>
      </c>
      <c r="I67" s="5" t="s">
        <v>12</v>
      </c>
      <c r="J67" s="8" t="s">
        <v>9</v>
      </c>
      <c r="K67" s="8" t="s">
        <v>16</v>
      </c>
      <c r="L67" s="29" t="s">
        <v>14</v>
      </c>
    </row>
    <row r="68" spans="1:12" ht="12.5" x14ac:dyDescent="0.25">
      <c r="A68" s="30">
        <v>67</v>
      </c>
      <c r="B68" s="26" t="s">
        <v>6</v>
      </c>
      <c r="C68" s="5" t="s">
        <v>3</v>
      </c>
      <c r="D68" s="10" t="s">
        <v>8</v>
      </c>
      <c r="E68" s="35">
        <v>6</v>
      </c>
      <c r="F68" s="6" t="str">
        <f t="shared" si="2"/>
        <v>Frequent</v>
      </c>
      <c r="G68" s="7">
        <v>60000</v>
      </c>
      <c r="H68" s="7" t="str">
        <f t="shared" si="3"/>
        <v>High</v>
      </c>
      <c r="I68" s="5" t="s">
        <v>38</v>
      </c>
      <c r="J68" s="5" t="s">
        <v>9</v>
      </c>
      <c r="K68" s="5" t="s">
        <v>19</v>
      </c>
      <c r="L68" s="28" t="s">
        <v>5</v>
      </c>
    </row>
    <row r="69" spans="1:12" ht="12.5" x14ac:dyDescent="0.25">
      <c r="A69" s="30">
        <v>68</v>
      </c>
      <c r="B69" s="27" t="s">
        <v>2</v>
      </c>
      <c r="C69" s="8" t="s">
        <v>7</v>
      </c>
      <c r="D69" s="11" t="s">
        <v>8</v>
      </c>
      <c r="E69" s="36">
        <v>6</v>
      </c>
      <c r="F69" s="6" t="str">
        <f t="shared" si="2"/>
        <v>Frequent</v>
      </c>
      <c r="G69" s="9">
        <v>400000</v>
      </c>
      <c r="H69" s="7" t="str">
        <f t="shared" si="3"/>
        <v>High</v>
      </c>
      <c r="I69" s="5" t="s">
        <v>38</v>
      </c>
      <c r="J69" s="8" t="s">
        <v>18</v>
      </c>
      <c r="K69" s="8" t="s">
        <v>16</v>
      </c>
      <c r="L69" s="29" t="s">
        <v>20</v>
      </c>
    </row>
    <row r="70" spans="1:12" ht="12.5" x14ac:dyDescent="0.25">
      <c r="A70" s="30">
        <v>69</v>
      </c>
      <c r="B70" s="26" t="s">
        <v>2</v>
      </c>
      <c r="C70" s="5" t="s">
        <v>3</v>
      </c>
      <c r="D70" s="10" t="s">
        <v>8</v>
      </c>
      <c r="E70" s="35">
        <v>1</v>
      </c>
      <c r="F70" s="6" t="str">
        <f t="shared" si="2"/>
        <v>Occasional</v>
      </c>
      <c r="G70" s="7">
        <v>150000</v>
      </c>
      <c r="H70" s="7" t="str">
        <f t="shared" si="3"/>
        <v>High</v>
      </c>
      <c r="I70" s="5" t="s">
        <v>39</v>
      </c>
      <c r="J70" s="5" t="s">
        <v>9</v>
      </c>
      <c r="K70" s="5" t="s">
        <v>19</v>
      </c>
      <c r="L70" s="28" t="s">
        <v>15</v>
      </c>
    </row>
    <row r="71" spans="1:12" ht="12.5" x14ac:dyDescent="0.25">
      <c r="A71" s="30">
        <v>70</v>
      </c>
      <c r="B71" s="27" t="s">
        <v>2</v>
      </c>
      <c r="C71" s="8" t="s">
        <v>3</v>
      </c>
      <c r="D71" s="11" t="s">
        <v>31</v>
      </c>
      <c r="E71" s="36">
        <v>2</v>
      </c>
      <c r="F71" s="6" t="str">
        <f t="shared" si="2"/>
        <v>Occasional</v>
      </c>
      <c r="G71" s="9">
        <v>50000</v>
      </c>
      <c r="H71" s="7" t="str">
        <f t="shared" si="3"/>
        <v>Medium</v>
      </c>
      <c r="I71" s="5" t="s">
        <v>12</v>
      </c>
      <c r="J71" s="8" t="s">
        <v>18</v>
      </c>
      <c r="K71" s="8" t="s">
        <v>16</v>
      </c>
      <c r="L71" s="29" t="s">
        <v>15</v>
      </c>
    </row>
    <row r="72" spans="1:12" ht="12.5" x14ac:dyDescent="0.25">
      <c r="A72" s="30">
        <v>71</v>
      </c>
      <c r="B72" s="26" t="s">
        <v>6</v>
      </c>
      <c r="C72" s="5" t="s">
        <v>3</v>
      </c>
      <c r="D72" s="10" t="s">
        <v>8</v>
      </c>
      <c r="E72" s="35">
        <v>5</v>
      </c>
      <c r="F72" s="6" t="str">
        <f t="shared" si="2"/>
        <v>Frequent</v>
      </c>
      <c r="G72" s="7">
        <v>100000</v>
      </c>
      <c r="H72" s="7" t="str">
        <f t="shared" si="3"/>
        <v>High</v>
      </c>
      <c r="I72" s="5" t="s">
        <v>12</v>
      </c>
      <c r="J72" s="5" t="s">
        <v>9</v>
      </c>
      <c r="K72" s="5" t="s">
        <v>19</v>
      </c>
      <c r="L72" s="28" t="s">
        <v>5</v>
      </c>
    </row>
    <row r="73" spans="1:12" ht="12.5" x14ac:dyDescent="0.25">
      <c r="A73" s="30">
        <v>72</v>
      </c>
      <c r="B73" s="27" t="s">
        <v>6</v>
      </c>
      <c r="C73" s="8" t="s">
        <v>7</v>
      </c>
      <c r="D73" s="11" t="s">
        <v>8</v>
      </c>
      <c r="E73" s="36">
        <v>2</v>
      </c>
      <c r="F73" s="6" t="str">
        <f t="shared" si="2"/>
        <v>Occasional</v>
      </c>
      <c r="G73" s="9">
        <v>15000</v>
      </c>
      <c r="H73" s="7" t="str">
        <f t="shared" si="3"/>
        <v>Low</v>
      </c>
      <c r="I73" s="5" t="s">
        <v>23</v>
      </c>
      <c r="J73" s="8" t="s">
        <v>9</v>
      </c>
      <c r="K73" s="8" t="s">
        <v>19</v>
      </c>
      <c r="L73" s="29" t="s">
        <v>5</v>
      </c>
    </row>
    <row r="74" spans="1:12" ht="12.5" x14ac:dyDescent="0.25">
      <c r="A74" s="30">
        <v>73</v>
      </c>
      <c r="B74" s="26" t="s">
        <v>6</v>
      </c>
      <c r="C74" s="5" t="s">
        <v>7</v>
      </c>
      <c r="D74" s="10" t="s">
        <v>8</v>
      </c>
      <c r="E74" s="35">
        <v>2</v>
      </c>
      <c r="F74" s="6" t="str">
        <f t="shared" si="2"/>
        <v>Occasional</v>
      </c>
      <c r="G74" s="7">
        <v>50000</v>
      </c>
      <c r="H74" s="7" t="str">
        <f t="shared" si="3"/>
        <v>Medium</v>
      </c>
      <c r="I74" s="5" t="s">
        <v>25</v>
      </c>
      <c r="J74" s="5" t="s">
        <v>4</v>
      </c>
      <c r="K74" s="5" t="s">
        <v>13</v>
      </c>
      <c r="L74" s="28" t="s">
        <v>5</v>
      </c>
    </row>
    <row r="75" spans="1:12" ht="12.5" x14ac:dyDescent="0.25">
      <c r="A75" s="30">
        <v>74</v>
      </c>
      <c r="B75" s="27" t="s">
        <v>6</v>
      </c>
      <c r="C75" s="8" t="s">
        <v>24</v>
      </c>
      <c r="D75" s="11" t="s">
        <v>8</v>
      </c>
      <c r="E75" s="36">
        <v>5</v>
      </c>
      <c r="F75" s="6" t="str">
        <f t="shared" si="2"/>
        <v>Frequent</v>
      </c>
      <c r="G75" s="9">
        <v>400000</v>
      </c>
      <c r="H75" s="7" t="str">
        <f t="shared" si="3"/>
        <v>High</v>
      </c>
      <c r="I75" s="5" t="s">
        <v>12</v>
      </c>
      <c r="J75" s="8" t="s">
        <v>18</v>
      </c>
      <c r="K75" s="8" t="s">
        <v>16</v>
      </c>
      <c r="L75" s="29" t="s">
        <v>20</v>
      </c>
    </row>
    <row r="76" spans="1:12" ht="12.5" x14ac:dyDescent="0.25">
      <c r="A76" s="30">
        <v>75</v>
      </c>
      <c r="B76" s="26" t="s">
        <v>6</v>
      </c>
      <c r="C76" s="5" t="s">
        <v>3</v>
      </c>
      <c r="D76" s="10" t="s">
        <v>28</v>
      </c>
      <c r="E76" s="35">
        <v>1</v>
      </c>
      <c r="F76" s="6" t="str">
        <f t="shared" si="2"/>
        <v>Occasional</v>
      </c>
      <c r="G76" s="7">
        <v>10000</v>
      </c>
      <c r="H76" s="7" t="str">
        <f t="shared" si="3"/>
        <v>Low</v>
      </c>
      <c r="I76" s="5" t="s">
        <v>12</v>
      </c>
      <c r="J76" s="5" t="s">
        <v>9</v>
      </c>
      <c r="K76" s="5" t="s">
        <v>16</v>
      </c>
      <c r="L76" s="28" t="s">
        <v>5</v>
      </c>
    </row>
    <row r="77" spans="1:12" ht="12.5" x14ac:dyDescent="0.25">
      <c r="A77" s="30">
        <v>76</v>
      </c>
      <c r="B77" s="27" t="s">
        <v>2</v>
      </c>
      <c r="C77" s="8" t="s">
        <v>7</v>
      </c>
      <c r="D77" s="11" t="s">
        <v>8</v>
      </c>
      <c r="E77" s="36">
        <v>3</v>
      </c>
      <c r="F77" s="6" t="str">
        <f t="shared" si="2"/>
        <v>Occasional</v>
      </c>
      <c r="G77" s="9">
        <v>2000</v>
      </c>
      <c r="H77" s="7" t="str">
        <f t="shared" si="3"/>
        <v>Low</v>
      </c>
      <c r="I77" s="5" t="s">
        <v>12</v>
      </c>
      <c r="J77" s="8" t="s">
        <v>4</v>
      </c>
      <c r="K77" s="8" t="s">
        <v>40</v>
      </c>
      <c r="L77" s="29" t="s">
        <v>5</v>
      </c>
    </row>
    <row r="78" spans="1:12" ht="12.5" x14ac:dyDescent="0.25">
      <c r="A78" s="30">
        <v>77</v>
      </c>
      <c r="B78" s="26" t="s">
        <v>2</v>
      </c>
      <c r="C78" s="5" t="s">
        <v>7</v>
      </c>
      <c r="D78" s="10" t="s">
        <v>8</v>
      </c>
      <c r="E78" s="35">
        <v>7</v>
      </c>
      <c r="F78" s="6" t="str">
        <f t="shared" si="2"/>
        <v>Frequent</v>
      </c>
      <c r="G78" s="7">
        <v>150000</v>
      </c>
      <c r="H78" s="7" t="str">
        <f t="shared" si="3"/>
        <v>High</v>
      </c>
      <c r="I78" s="5" t="s">
        <v>12</v>
      </c>
      <c r="J78" s="5" t="s">
        <v>18</v>
      </c>
      <c r="K78" s="5" t="s">
        <v>19</v>
      </c>
      <c r="L78" s="28" t="s">
        <v>15</v>
      </c>
    </row>
    <row r="79" spans="1:12" ht="12.5" x14ac:dyDescent="0.25">
      <c r="A79" s="30">
        <v>78</v>
      </c>
      <c r="B79" s="27" t="s">
        <v>2</v>
      </c>
      <c r="C79" s="8" t="s">
        <v>7</v>
      </c>
      <c r="D79" s="11" t="s">
        <v>8</v>
      </c>
      <c r="E79" s="36">
        <v>5</v>
      </c>
      <c r="F79" s="6" t="str">
        <f t="shared" si="2"/>
        <v>Frequent</v>
      </c>
      <c r="G79" s="9">
        <v>200000</v>
      </c>
      <c r="H79" s="7" t="str">
        <f t="shared" si="3"/>
        <v>High</v>
      </c>
      <c r="I79" s="5" t="s">
        <v>12</v>
      </c>
      <c r="J79" s="8" t="s">
        <v>9</v>
      </c>
      <c r="K79" s="8" t="s">
        <v>16</v>
      </c>
      <c r="L79" s="29" t="s">
        <v>15</v>
      </c>
    </row>
    <row r="80" spans="1:12" ht="12.5" x14ac:dyDescent="0.25">
      <c r="A80" s="30">
        <v>79</v>
      </c>
      <c r="B80" s="26" t="s">
        <v>2</v>
      </c>
      <c r="C80" s="5" t="s">
        <v>3</v>
      </c>
      <c r="D80" s="10" t="s">
        <v>8</v>
      </c>
      <c r="E80" s="35">
        <v>3</v>
      </c>
      <c r="F80" s="6" t="str">
        <f t="shared" si="2"/>
        <v>Occasional</v>
      </c>
      <c r="G80" s="7">
        <v>90000</v>
      </c>
      <c r="H80" s="7" t="str">
        <f t="shared" si="3"/>
        <v>High</v>
      </c>
      <c r="I80" s="5" t="s">
        <v>12</v>
      </c>
      <c r="J80" s="5" t="s">
        <v>9</v>
      </c>
      <c r="K80" s="5" t="s">
        <v>19</v>
      </c>
      <c r="L80" s="28" t="s">
        <v>5</v>
      </c>
    </row>
    <row r="81" spans="1:12" ht="12.5" x14ac:dyDescent="0.25">
      <c r="A81" s="30">
        <v>80</v>
      </c>
      <c r="B81" s="27" t="s">
        <v>6</v>
      </c>
      <c r="C81" s="8" t="s">
        <v>3</v>
      </c>
      <c r="D81" s="11" t="s">
        <v>33</v>
      </c>
      <c r="E81" s="36">
        <v>1</v>
      </c>
      <c r="F81" s="6" t="str">
        <f t="shared" si="2"/>
        <v>Occasional</v>
      </c>
      <c r="G81" s="9">
        <v>30000</v>
      </c>
      <c r="H81" s="7" t="str">
        <f t="shared" si="3"/>
        <v>Medium</v>
      </c>
      <c r="I81" s="5" t="s">
        <v>12</v>
      </c>
      <c r="J81" s="8" t="s">
        <v>9</v>
      </c>
      <c r="K81" s="8" t="s">
        <v>16</v>
      </c>
      <c r="L81" s="29" t="s">
        <v>15</v>
      </c>
    </row>
    <row r="82" spans="1:12" ht="12.5" x14ac:dyDescent="0.25">
      <c r="A82" s="30">
        <v>81</v>
      </c>
      <c r="B82" s="26" t="s">
        <v>2</v>
      </c>
      <c r="C82" s="5" t="s">
        <v>7</v>
      </c>
      <c r="D82" s="10" t="s">
        <v>28</v>
      </c>
      <c r="E82" s="35">
        <v>1</v>
      </c>
      <c r="F82" s="6" t="str">
        <f t="shared" si="2"/>
        <v>Occasional</v>
      </c>
      <c r="G82" s="7">
        <v>20000</v>
      </c>
      <c r="H82" s="7" t="str">
        <f t="shared" si="3"/>
        <v>Medium</v>
      </c>
      <c r="I82" s="5" t="s">
        <v>12</v>
      </c>
      <c r="J82" s="5" t="s">
        <v>9</v>
      </c>
      <c r="K82" s="5" t="s">
        <v>16</v>
      </c>
      <c r="L82" s="28" t="s">
        <v>5</v>
      </c>
    </row>
    <row r="83" spans="1:12" ht="12.5" x14ac:dyDescent="0.25">
      <c r="A83" s="30">
        <v>82</v>
      </c>
      <c r="B83" s="27" t="s">
        <v>2</v>
      </c>
      <c r="C83" s="8" t="s">
        <v>3</v>
      </c>
      <c r="D83" s="11" t="s">
        <v>8</v>
      </c>
      <c r="E83" s="36">
        <v>1</v>
      </c>
      <c r="F83" s="6" t="str">
        <f t="shared" si="2"/>
        <v>Occasional</v>
      </c>
      <c r="G83" s="9">
        <v>80000</v>
      </c>
      <c r="H83" s="7" t="str">
        <f t="shared" si="3"/>
        <v>High</v>
      </c>
      <c r="I83" s="5" t="s">
        <v>25</v>
      </c>
      <c r="J83" s="8" t="s">
        <v>9</v>
      </c>
      <c r="K83" s="8" t="s">
        <v>19</v>
      </c>
      <c r="L83" s="29" t="s">
        <v>5</v>
      </c>
    </row>
    <row r="84" spans="1:12" ht="12.5" x14ac:dyDescent="0.25">
      <c r="A84" s="30">
        <v>83</v>
      </c>
      <c r="B84" s="26" t="s">
        <v>2</v>
      </c>
      <c r="C84" s="5" t="s">
        <v>3</v>
      </c>
      <c r="D84" s="10" t="s">
        <v>30</v>
      </c>
      <c r="E84" s="35">
        <v>5</v>
      </c>
      <c r="F84" s="6" t="str">
        <f t="shared" si="2"/>
        <v>Frequent</v>
      </c>
      <c r="G84" s="7">
        <v>300000</v>
      </c>
      <c r="H84" s="7" t="str">
        <f t="shared" si="3"/>
        <v>High</v>
      </c>
      <c r="I84" s="5" t="s">
        <v>23</v>
      </c>
      <c r="J84" s="5" t="s">
        <v>9</v>
      </c>
      <c r="K84" s="5" t="s">
        <v>16</v>
      </c>
      <c r="L84" s="28" t="s">
        <v>5</v>
      </c>
    </row>
    <row r="85" spans="1:12" ht="12.5" x14ac:dyDescent="0.25">
      <c r="A85" s="30">
        <v>84</v>
      </c>
      <c r="B85" s="27" t="s">
        <v>2</v>
      </c>
      <c r="C85" s="8" t="s">
        <v>3</v>
      </c>
      <c r="D85" s="11" t="s">
        <v>37</v>
      </c>
      <c r="E85" s="36">
        <v>2</v>
      </c>
      <c r="F85" s="6" t="str">
        <f t="shared" si="2"/>
        <v>Occasional</v>
      </c>
      <c r="G85" s="9">
        <v>120000</v>
      </c>
      <c r="H85" s="7" t="str">
        <f t="shared" si="3"/>
        <v>High</v>
      </c>
      <c r="I85" s="5" t="s">
        <v>23</v>
      </c>
      <c r="J85" s="8" t="s">
        <v>9</v>
      </c>
      <c r="K85" s="8" t="s">
        <v>13</v>
      </c>
      <c r="L85" s="29" t="s">
        <v>15</v>
      </c>
    </row>
    <row r="86" spans="1:12" ht="12.5" x14ac:dyDescent="0.25">
      <c r="A86" s="30">
        <v>85</v>
      </c>
      <c r="B86" s="26" t="s">
        <v>2</v>
      </c>
      <c r="C86" s="5" t="s">
        <v>3</v>
      </c>
      <c r="D86" s="10" t="s">
        <v>8</v>
      </c>
      <c r="E86" s="35">
        <v>1</v>
      </c>
      <c r="F86" s="6" t="str">
        <f t="shared" si="2"/>
        <v>Occasional</v>
      </c>
      <c r="G86" s="7">
        <v>100000</v>
      </c>
      <c r="H86" s="7" t="str">
        <f t="shared" si="3"/>
        <v>High</v>
      </c>
      <c r="I86" s="5" t="s">
        <v>23</v>
      </c>
      <c r="J86" s="5" t="s">
        <v>9</v>
      </c>
      <c r="K86" s="5" t="s">
        <v>16</v>
      </c>
      <c r="L86" s="28" t="s">
        <v>5</v>
      </c>
    </row>
    <row r="87" spans="1:12" ht="12.5" x14ac:dyDescent="0.25">
      <c r="A87" s="30">
        <v>86</v>
      </c>
      <c r="B87" s="27" t="s">
        <v>6</v>
      </c>
      <c r="C87" s="8" t="s">
        <v>3</v>
      </c>
      <c r="D87" s="11" t="s">
        <v>36</v>
      </c>
      <c r="E87" s="36">
        <v>1</v>
      </c>
      <c r="F87" s="6" t="str">
        <f t="shared" si="2"/>
        <v>Occasional</v>
      </c>
      <c r="G87" s="9">
        <v>50000</v>
      </c>
      <c r="H87" s="7" t="str">
        <f t="shared" si="3"/>
        <v>Medium</v>
      </c>
      <c r="I87" s="5" t="s">
        <v>23</v>
      </c>
      <c r="J87" s="8" t="s">
        <v>9</v>
      </c>
      <c r="K87" s="8" t="s">
        <v>19</v>
      </c>
      <c r="L87" s="29" t="s">
        <v>17</v>
      </c>
    </row>
    <row r="88" spans="1:12" ht="12.5" x14ac:dyDescent="0.25">
      <c r="A88" s="30">
        <v>87</v>
      </c>
      <c r="B88" s="26" t="s">
        <v>6</v>
      </c>
      <c r="C88" s="5" t="s">
        <v>24</v>
      </c>
      <c r="D88" s="10" t="s">
        <v>21</v>
      </c>
      <c r="E88" s="35">
        <v>2</v>
      </c>
      <c r="F88" s="6" t="str">
        <f t="shared" si="2"/>
        <v>Occasional</v>
      </c>
      <c r="G88" s="7">
        <v>100000</v>
      </c>
      <c r="H88" s="7" t="str">
        <f t="shared" si="3"/>
        <v>High</v>
      </c>
      <c r="I88" s="5" t="s">
        <v>12</v>
      </c>
      <c r="J88" s="5" t="s">
        <v>9</v>
      </c>
      <c r="K88" s="5" t="s">
        <v>19</v>
      </c>
      <c r="L88" s="28" t="s">
        <v>15</v>
      </c>
    </row>
    <row r="89" spans="1:12" ht="12.5" x14ac:dyDescent="0.25">
      <c r="A89" s="30">
        <v>88</v>
      </c>
      <c r="B89" s="27" t="s">
        <v>6</v>
      </c>
      <c r="C89" s="8" t="s">
        <v>3</v>
      </c>
      <c r="D89" s="11" t="s">
        <v>8</v>
      </c>
      <c r="E89" s="36">
        <v>2</v>
      </c>
      <c r="F89" s="6" t="str">
        <f t="shared" si="2"/>
        <v>Occasional</v>
      </c>
      <c r="G89" s="9">
        <v>300000</v>
      </c>
      <c r="H89" s="7" t="str">
        <f t="shared" si="3"/>
        <v>High</v>
      </c>
      <c r="I89" s="5" t="s">
        <v>12</v>
      </c>
      <c r="J89" s="8" t="s">
        <v>9</v>
      </c>
      <c r="K89" s="8" t="s">
        <v>16</v>
      </c>
      <c r="L89" s="29" t="s">
        <v>20</v>
      </c>
    </row>
    <row r="90" spans="1:12" ht="12.5" x14ac:dyDescent="0.25">
      <c r="A90" s="30">
        <v>89</v>
      </c>
      <c r="B90" s="26" t="s">
        <v>2</v>
      </c>
      <c r="C90" s="5" t="s">
        <v>3</v>
      </c>
      <c r="D90" s="10" t="s">
        <v>8</v>
      </c>
      <c r="E90" s="35">
        <v>2</v>
      </c>
      <c r="F90" s="6" t="str">
        <f t="shared" si="2"/>
        <v>Occasional</v>
      </c>
      <c r="G90" s="7">
        <v>60000</v>
      </c>
      <c r="H90" s="7" t="str">
        <f t="shared" si="3"/>
        <v>High</v>
      </c>
      <c r="I90" s="5" t="s">
        <v>38</v>
      </c>
      <c r="J90" s="5" t="s">
        <v>9</v>
      </c>
      <c r="K90" s="5" t="s">
        <v>19</v>
      </c>
      <c r="L90" s="28" t="s">
        <v>5</v>
      </c>
    </row>
    <row r="91" spans="1:12" ht="12.5" x14ac:dyDescent="0.25">
      <c r="A91" s="30">
        <v>90</v>
      </c>
      <c r="B91" s="27" t="s">
        <v>6</v>
      </c>
      <c r="C91" s="8" t="s">
        <v>3</v>
      </c>
      <c r="D91" s="11" t="s">
        <v>8</v>
      </c>
      <c r="E91" s="36">
        <v>5</v>
      </c>
      <c r="F91" s="6" t="str">
        <f t="shared" si="2"/>
        <v>Frequent</v>
      </c>
      <c r="G91" s="9">
        <v>100000</v>
      </c>
      <c r="H91" s="7" t="str">
        <f t="shared" si="3"/>
        <v>High</v>
      </c>
      <c r="I91" s="5" t="s">
        <v>12</v>
      </c>
      <c r="J91" s="8" t="s">
        <v>9</v>
      </c>
      <c r="K91" s="8" t="s">
        <v>19</v>
      </c>
      <c r="L91" s="29" t="s">
        <v>5</v>
      </c>
    </row>
    <row r="92" spans="1:12" ht="12.5" x14ac:dyDescent="0.25">
      <c r="A92" s="30">
        <v>91</v>
      </c>
      <c r="B92" s="26" t="s">
        <v>2</v>
      </c>
      <c r="C92" s="5" t="s">
        <v>7</v>
      </c>
      <c r="D92" s="10" t="s">
        <v>26</v>
      </c>
      <c r="E92" s="35">
        <v>3</v>
      </c>
      <c r="F92" s="6" t="str">
        <f t="shared" si="2"/>
        <v>Occasional</v>
      </c>
      <c r="G92" s="7">
        <v>200000</v>
      </c>
      <c r="H92" s="7" t="str">
        <f t="shared" si="3"/>
        <v>High</v>
      </c>
      <c r="I92" s="5" t="s">
        <v>12</v>
      </c>
      <c r="J92" s="5" t="s">
        <v>18</v>
      </c>
      <c r="K92" s="5" t="s">
        <v>16</v>
      </c>
      <c r="L92" s="28" t="s">
        <v>5</v>
      </c>
    </row>
    <row r="93" spans="1:12" ht="12.5" x14ac:dyDescent="0.25">
      <c r="A93" s="30">
        <v>92</v>
      </c>
      <c r="B93" s="27" t="s">
        <v>2</v>
      </c>
      <c r="C93" s="8" t="s">
        <v>3</v>
      </c>
      <c r="D93" s="11" t="s">
        <v>8</v>
      </c>
      <c r="E93" s="36">
        <v>5</v>
      </c>
      <c r="F93" s="6" t="str">
        <f t="shared" si="2"/>
        <v>Frequent</v>
      </c>
      <c r="G93" s="9">
        <v>90000</v>
      </c>
      <c r="H93" s="7" t="str">
        <f t="shared" si="3"/>
        <v>High</v>
      </c>
      <c r="I93" s="5" t="s">
        <v>38</v>
      </c>
      <c r="J93" s="8" t="s">
        <v>27</v>
      </c>
      <c r="K93" s="8" t="s">
        <v>16</v>
      </c>
      <c r="L93" s="29" t="s">
        <v>5</v>
      </c>
    </row>
    <row r="94" spans="1:12" ht="12.5" x14ac:dyDescent="0.25">
      <c r="A94" s="30">
        <v>93</v>
      </c>
      <c r="B94" s="26" t="s">
        <v>2</v>
      </c>
      <c r="C94" s="5" t="s">
        <v>3</v>
      </c>
      <c r="D94" s="10" t="s">
        <v>8</v>
      </c>
      <c r="E94" s="35">
        <v>5</v>
      </c>
      <c r="F94" s="6" t="str">
        <f t="shared" si="2"/>
        <v>Frequent</v>
      </c>
      <c r="G94" s="7">
        <v>90000</v>
      </c>
      <c r="H94" s="7" t="str">
        <f t="shared" si="3"/>
        <v>High</v>
      </c>
      <c r="I94" s="5" t="s">
        <v>38</v>
      </c>
      <c r="J94" s="5" t="s">
        <v>27</v>
      </c>
      <c r="K94" s="5" t="s">
        <v>16</v>
      </c>
      <c r="L94" s="28" t="s">
        <v>5</v>
      </c>
    </row>
    <row r="95" spans="1:12" ht="12.5" x14ac:dyDescent="0.25">
      <c r="A95" s="30">
        <v>94</v>
      </c>
      <c r="B95" s="27" t="s">
        <v>2</v>
      </c>
      <c r="C95" s="8" t="s">
        <v>3</v>
      </c>
      <c r="D95" s="11" t="s">
        <v>8</v>
      </c>
      <c r="E95" s="36">
        <v>5</v>
      </c>
      <c r="F95" s="6" t="str">
        <f t="shared" si="2"/>
        <v>Frequent</v>
      </c>
      <c r="G95" s="9">
        <v>50000</v>
      </c>
      <c r="H95" s="7" t="str">
        <f t="shared" si="3"/>
        <v>Medium</v>
      </c>
      <c r="I95" s="5" t="s">
        <v>23</v>
      </c>
      <c r="J95" s="8" t="s">
        <v>9</v>
      </c>
      <c r="K95" s="8" t="s">
        <v>16</v>
      </c>
      <c r="L95" s="29" t="s">
        <v>20</v>
      </c>
    </row>
    <row r="96" spans="1:12" ht="12.5" x14ac:dyDescent="0.25">
      <c r="A96" s="30">
        <v>95</v>
      </c>
      <c r="B96" s="26" t="s">
        <v>6</v>
      </c>
      <c r="C96" s="5" t="s">
        <v>7</v>
      </c>
      <c r="D96" s="10" t="s">
        <v>8</v>
      </c>
      <c r="E96" s="35">
        <v>4</v>
      </c>
      <c r="F96" s="6" t="str">
        <f t="shared" si="2"/>
        <v>Occasional</v>
      </c>
      <c r="G96" s="7">
        <v>100000</v>
      </c>
      <c r="H96" s="7" t="str">
        <f t="shared" si="3"/>
        <v>High</v>
      </c>
      <c r="I96" s="5" t="s">
        <v>12</v>
      </c>
      <c r="J96" s="5" t="s">
        <v>9</v>
      </c>
      <c r="K96" s="5" t="s">
        <v>16</v>
      </c>
      <c r="L96" s="28" t="s">
        <v>17</v>
      </c>
    </row>
    <row r="97" spans="1:12" ht="12.5" x14ac:dyDescent="0.25">
      <c r="A97" s="30">
        <v>96</v>
      </c>
      <c r="B97" s="27" t="s">
        <v>6</v>
      </c>
      <c r="C97" s="8" t="s">
        <v>3</v>
      </c>
      <c r="D97" s="11" t="s">
        <v>8</v>
      </c>
      <c r="E97" s="36">
        <v>3</v>
      </c>
      <c r="F97" s="6" t="str">
        <f t="shared" si="2"/>
        <v>Occasional</v>
      </c>
      <c r="G97" s="9">
        <v>70000</v>
      </c>
      <c r="H97" s="7" t="str">
        <f t="shared" si="3"/>
        <v>High</v>
      </c>
      <c r="I97" s="5" t="s">
        <v>12</v>
      </c>
      <c r="J97" s="8" t="s">
        <v>9</v>
      </c>
      <c r="K97" s="8" t="s">
        <v>19</v>
      </c>
      <c r="L97" s="29" t="s">
        <v>17</v>
      </c>
    </row>
    <row r="98" spans="1:12" ht="12.5" x14ac:dyDescent="0.25">
      <c r="A98" s="30">
        <v>97</v>
      </c>
      <c r="B98" s="26" t="s">
        <v>6</v>
      </c>
      <c r="C98" s="5" t="s">
        <v>7</v>
      </c>
      <c r="D98" s="10" t="s">
        <v>29</v>
      </c>
      <c r="E98" s="35">
        <v>2</v>
      </c>
      <c r="F98" s="6" t="str">
        <f t="shared" si="2"/>
        <v>Occasional</v>
      </c>
      <c r="G98" s="7">
        <v>15000</v>
      </c>
      <c r="H98" s="7" t="str">
        <f t="shared" si="3"/>
        <v>Low</v>
      </c>
      <c r="I98" s="5" t="s">
        <v>12</v>
      </c>
      <c r="J98" s="5" t="s">
        <v>9</v>
      </c>
      <c r="K98" s="5" t="s">
        <v>16</v>
      </c>
      <c r="L98" s="28" t="s">
        <v>20</v>
      </c>
    </row>
    <row r="99" spans="1:12" ht="12.5" x14ac:dyDescent="0.25">
      <c r="A99" s="30">
        <v>98</v>
      </c>
      <c r="B99" s="27" t="s">
        <v>6</v>
      </c>
      <c r="C99" s="8" t="s">
        <v>7</v>
      </c>
      <c r="D99" s="11" t="s">
        <v>8</v>
      </c>
      <c r="E99" s="36">
        <v>4</v>
      </c>
      <c r="F99" s="6" t="str">
        <f t="shared" si="2"/>
        <v>Occasional</v>
      </c>
      <c r="G99" s="9">
        <v>90000</v>
      </c>
      <c r="H99" s="7" t="str">
        <f t="shared" si="3"/>
        <v>High</v>
      </c>
      <c r="I99" s="5" t="s">
        <v>25</v>
      </c>
      <c r="J99" s="8" t="s">
        <v>9</v>
      </c>
      <c r="K99" s="8" t="s">
        <v>19</v>
      </c>
      <c r="L99" s="29" t="s">
        <v>17</v>
      </c>
    </row>
    <row r="100" spans="1:12" ht="12.5" x14ac:dyDescent="0.25">
      <c r="A100" s="30">
        <v>99</v>
      </c>
      <c r="B100" s="26" t="s">
        <v>6</v>
      </c>
      <c r="C100" s="5" t="s">
        <v>3</v>
      </c>
      <c r="D100" s="10" t="s">
        <v>8</v>
      </c>
      <c r="E100" s="35">
        <v>5</v>
      </c>
      <c r="F100" s="6" t="str">
        <f t="shared" si="2"/>
        <v>Frequent</v>
      </c>
      <c r="G100" s="7">
        <v>50000</v>
      </c>
      <c r="H100" s="7" t="str">
        <f t="shared" si="3"/>
        <v>Medium</v>
      </c>
      <c r="I100" s="5" t="s">
        <v>12</v>
      </c>
      <c r="J100" s="5" t="s">
        <v>9</v>
      </c>
      <c r="K100" s="5" t="s">
        <v>16</v>
      </c>
      <c r="L100" s="28" t="s">
        <v>5</v>
      </c>
    </row>
    <row r="101" spans="1:12" ht="12.5" x14ac:dyDescent="0.25">
      <c r="A101" s="30">
        <v>100</v>
      </c>
      <c r="B101" s="27" t="s">
        <v>2</v>
      </c>
      <c r="C101" s="8" t="s">
        <v>3</v>
      </c>
      <c r="D101" s="11" t="s">
        <v>8</v>
      </c>
      <c r="E101" s="36">
        <v>10</v>
      </c>
      <c r="F101" s="6" t="str">
        <f t="shared" si="2"/>
        <v>Frequent</v>
      </c>
      <c r="G101" s="9">
        <v>300000</v>
      </c>
      <c r="H101" s="7" t="str">
        <f t="shared" si="3"/>
        <v>High</v>
      </c>
      <c r="I101" s="5" t="s">
        <v>12</v>
      </c>
      <c r="J101" s="8" t="s">
        <v>9</v>
      </c>
      <c r="K101" s="8" t="s">
        <v>16</v>
      </c>
      <c r="L101" s="29" t="s">
        <v>5</v>
      </c>
    </row>
    <row r="102" spans="1:12" ht="12.5" x14ac:dyDescent="0.25">
      <c r="A102" s="30">
        <v>101</v>
      </c>
      <c r="B102" s="26" t="s">
        <v>2</v>
      </c>
      <c r="C102" s="5" t="s">
        <v>3</v>
      </c>
      <c r="D102" s="10" t="s">
        <v>29</v>
      </c>
      <c r="E102" s="35">
        <v>1</v>
      </c>
      <c r="F102" s="6" t="str">
        <f t="shared" si="2"/>
        <v>Occasional</v>
      </c>
      <c r="G102" s="7">
        <v>200000</v>
      </c>
      <c r="H102" s="7" t="str">
        <f t="shared" si="3"/>
        <v>High</v>
      </c>
      <c r="I102" s="5" t="s">
        <v>23</v>
      </c>
      <c r="J102" s="5" t="s">
        <v>9</v>
      </c>
      <c r="K102" s="5" t="s">
        <v>19</v>
      </c>
      <c r="L102" s="28" t="s">
        <v>5</v>
      </c>
    </row>
    <row r="103" spans="1:12" ht="12.5" x14ac:dyDescent="0.25">
      <c r="A103" s="30">
        <v>102</v>
      </c>
      <c r="B103" s="27" t="s">
        <v>2</v>
      </c>
      <c r="C103" s="8" t="s">
        <v>3</v>
      </c>
      <c r="D103" s="11" t="s">
        <v>28</v>
      </c>
      <c r="E103" s="36">
        <v>4</v>
      </c>
      <c r="F103" s="6" t="str">
        <f t="shared" si="2"/>
        <v>Occasional</v>
      </c>
      <c r="G103" s="9">
        <v>100000</v>
      </c>
      <c r="H103" s="7" t="str">
        <f t="shared" si="3"/>
        <v>High</v>
      </c>
      <c r="I103" s="5" t="s">
        <v>12</v>
      </c>
      <c r="J103" s="8" t="s">
        <v>9</v>
      </c>
      <c r="K103" s="8" t="s">
        <v>16</v>
      </c>
      <c r="L103" s="29" t="s">
        <v>15</v>
      </c>
    </row>
    <row r="104" spans="1:12" ht="12.5" x14ac:dyDescent="0.25">
      <c r="A104" s="30">
        <v>103</v>
      </c>
      <c r="B104" s="26" t="s">
        <v>6</v>
      </c>
      <c r="C104" s="5" t="s">
        <v>7</v>
      </c>
      <c r="D104" s="10" t="s">
        <v>29</v>
      </c>
      <c r="E104" s="35">
        <v>1</v>
      </c>
      <c r="F104" s="6" t="str">
        <f t="shared" si="2"/>
        <v>Occasional</v>
      </c>
      <c r="G104" s="7">
        <v>9000</v>
      </c>
      <c r="H104" s="7" t="str">
        <f t="shared" si="3"/>
        <v>Low</v>
      </c>
      <c r="I104" s="5" t="s">
        <v>12</v>
      </c>
      <c r="J104" s="5" t="s">
        <v>9</v>
      </c>
      <c r="K104" s="5" t="s">
        <v>16</v>
      </c>
      <c r="L104" s="28" t="s">
        <v>20</v>
      </c>
    </row>
    <row r="105" spans="1:12" ht="12.5" x14ac:dyDescent="0.25">
      <c r="A105" s="30">
        <v>104</v>
      </c>
      <c r="B105" s="27" t="s">
        <v>6</v>
      </c>
      <c r="C105" s="8" t="s">
        <v>7</v>
      </c>
      <c r="D105" s="11" t="s">
        <v>28</v>
      </c>
      <c r="E105" s="36">
        <v>1</v>
      </c>
      <c r="F105" s="6" t="str">
        <f t="shared" si="2"/>
        <v>Occasional</v>
      </c>
      <c r="G105" s="9">
        <v>20000</v>
      </c>
      <c r="H105" s="7" t="str">
        <f t="shared" si="3"/>
        <v>Medium</v>
      </c>
      <c r="I105" s="5" t="s">
        <v>23</v>
      </c>
      <c r="J105" s="8" t="s">
        <v>9</v>
      </c>
      <c r="K105" s="8" t="s">
        <v>19</v>
      </c>
      <c r="L105" s="29" t="s">
        <v>15</v>
      </c>
    </row>
    <row r="106" spans="1:12" ht="12.5" x14ac:dyDescent="0.25">
      <c r="A106" s="30">
        <v>105</v>
      </c>
      <c r="B106" s="26" t="s">
        <v>6</v>
      </c>
      <c r="C106" s="5" t="s">
        <v>3</v>
      </c>
      <c r="D106" s="10" t="s">
        <v>8</v>
      </c>
      <c r="E106" s="35">
        <v>3</v>
      </c>
      <c r="F106" s="6" t="str">
        <f t="shared" si="2"/>
        <v>Occasional</v>
      </c>
      <c r="G106" s="7">
        <v>30000</v>
      </c>
      <c r="H106" s="7" t="str">
        <f t="shared" si="3"/>
        <v>Medium</v>
      </c>
      <c r="I106" s="5" t="s">
        <v>12</v>
      </c>
      <c r="J106" s="5" t="s">
        <v>9</v>
      </c>
      <c r="K106" s="5" t="s">
        <v>16</v>
      </c>
      <c r="L106" s="28" t="s">
        <v>5</v>
      </c>
    </row>
    <row r="107" spans="1:12" ht="12.5" x14ac:dyDescent="0.25">
      <c r="A107" s="30">
        <v>106</v>
      </c>
      <c r="B107" s="27" t="s">
        <v>2</v>
      </c>
      <c r="C107" s="8" t="s">
        <v>3</v>
      </c>
      <c r="D107" s="11" t="s">
        <v>21</v>
      </c>
      <c r="E107" s="36">
        <v>2</v>
      </c>
      <c r="F107" s="6" t="str">
        <f t="shared" si="2"/>
        <v>Occasional</v>
      </c>
      <c r="G107" s="9">
        <v>80000</v>
      </c>
      <c r="H107" s="7" t="str">
        <f t="shared" si="3"/>
        <v>High</v>
      </c>
      <c r="I107" s="5" t="s">
        <v>12</v>
      </c>
      <c r="J107" s="8" t="s">
        <v>9</v>
      </c>
      <c r="K107" s="8" t="s">
        <v>10</v>
      </c>
      <c r="L107" s="29" t="s">
        <v>15</v>
      </c>
    </row>
    <row r="108" spans="1:12" ht="12.5" x14ac:dyDescent="0.25">
      <c r="A108" s="30">
        <v>107</v>
      </c>
      <c r="B108" s="13" t="s">
        <v>2</v>
      </c>
      <c r="C108" s="12" t="s">
        <v>3</v>
      </c>
      <c r="D108" s="13" t="s">
        <v>8</v>
      </c>
      <c r="E108" s="37">
        <v>5</v>
      </c>
      <c r="F108" s="6" t="str">
        <f t="shared" si="2"/>
        <v>Frequent</v>
      </c>
      <c r="G108" s="14">
        <v>17000</v>
      </c>
      <c r="H108" s="7" t="str">
        <f t="shared" si="3"/>
        <v>Low</v>
      </c>
      <c r="I108" s="5" t="s">
        <v>12</v>
      </c>
      <c r="J108" s="12" t="s">
        <v>18</v>
      </c>
      <c r="K108" s="12" t="s">
        <v>16</v>
      </c>
      <c r="L108" s="12" t="s">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8EB3-8DAA-4D93-87A0-0B74CDA711F1}">
  <sheetPr>
    <tabColor rgb="FFFFFF00"/>
  </sheetPr>
  <dimension ref="A1:X51"/>
  <sheetViews>
    <sheetView tabSelected="1" topLeftCell="I2" workbookViewId="0">
      <selection activeCell="I16" sqref="I16"/>
    </sheetView>
  </sheetViews>
  <sheetFormatPr defaultRowHeight="12.5" x14ac:dyDescent="0.25"/>
  <cols>
    <col min="1" max="1" width="11.453125" customWidth="1"/>
    <col min="2" max="2" width="17.90625" customWidth="1"/>
    <col min="3" max="3" width="12.7265625" customWidth="1"/>
    <col min="4" max="4" width="9.81640625" bestFit="1" customWidth="1"/>
    <col min="5" max="5" width="36" customWidth="1"/>
    <col min="6" max="6" width="24.1796875" bestFit="1" customWidth="1"/>
    <col min="7" max="7" width="21.36328125" bestFit="1" customWidth="1"/>
    <col min="8" max="9" width="25.6328125" bestFit="1" customWidth="1"/>
    <col min="10" max="10" width="33" bestFit="1" customWidth="1"/>
    <col min="11" max="11" width="13.7265625" bestFit="1" customWidth="1"/>
    <col min="12" max="12" width="18.90625" bestFit="1" customWidth="1"/>
    <col min="14" max="14" width="18.90625" bestFit="1" customWidth="1"/>
    <col min="15" max="15" width="14.81640625" bestFit="1" customWidth="1"/>
    <col min="16" max="17" width="5.453125" bestFit="1" customWidth="1"/>
    <col min="18" max="18" width="10.36328125" bestFit="1" customWidth="1"/>
    <col min="20" max="20" width="34.6328125" bestFit="1" customWidth="1"/>
    <col min="21" max="21" width="14.81640625" bestFit="1" customWidth="1"/>
    <col min="22" max="22" width="4.90625" bestFit="1" customWidth="1"/>
    <col min="23" max="23" width="7.54296875" bestFit="1" customWidth="1"/>
    <col min="24" max="24" width="5.81640625" bestFit="1" customWidth="1"/>
    <col min="25" max="25" width="10.36328125" bestFit="1" customWidth="1"/>
  </cols>
  <sheetData>
    <row r="1" spans="1:24" ht="13" x14ac:dyDescent="0.3">
      <c r="A1" s="59" t="s">
        <v>0</v>
      </c>
      <c r="B1" s="59" t="s">
        <v>43</v>
      </c>
      <c r="D1" s="60" t="s">
        <v>75</v>
      </c>
      <c r="E1" s="60" t="s">
        <v>73</v>
      </c>
      <c r="F1" s="61" t="s">
        <v>74</v>
      </c>
    </row>
    <row r="2" spans="1:24" x14ac:dyDescent="0.25">
      <c r="A2" t="s">
        <v>41</v>
      </c>
      <c r="B2">
        <f>COUNTIF('Form Responses 1'!$B$2:$B$108,"Male")</f>
        <v>64</v>
      </c>
      <c r="D2" s="44">
        <v>107</v>
      </c>
      <c r="E2" s="44">
        <v>3.3551401869158877</v>
      </c>
      <c r="F2" s="58">
        <v>126710.28037383177</v>
      </c>
    </row>
    <row r="3" spans="1:24" x14ac:dyDescent="0.25">
      <c r="A3" t="s">
        <v>42</v>
      </c>
      <c r="B3">
        <f>COUNTIF('Form Responses 1'!$B$2:$B$108,"Female")</f>
        <v>43</v>
      </c>
      <c r="N3" s="1" t="s">
        <v>68</v>
      </c>
      <c r="O3" s="1" t="s">
        <v>47</v>
      </c>
      <c r="P3" s="38"/>
      <c r="Q3" s="38"/>
      <c r="R3" s="17"/>
      <c r="T3" s="1" t="s">
        <v>65</v>
      </c>
      <c r="U3" s="1" t="s">
        <v>47</v>
      </c>
      <c r="V3" s="38"/>
      <c r="W3" s="38"/>
      <c r="X3" s="17"/>
    </row>
    <row r="4" spans="1:24" x14ac:dyDescent="0.25">
      <c r="D4" s="43"/>
      <c r="J4" s="1" t="s">
        <v>67</v>
      </c>
      <c r="K4" s="1" t="s">
        <v>47</v>
      </c>
      <c r="L4" s="17"/>
      <c r="N4" s="1" t="s">
        <v>70</v>
      </c>
      <c r="O4" s="16" t="s">
        <v>7</v>
      </c>
      <c r="P4" s="50" t="s">
        <v>3</v>
      </c>
      <c r="Q4" s="50" t="s">
        <v>24</v>
      </c>
      <c r="R4" s="2" t="s">
        <v>59</v>
      </c>
      <c r="T4" s="1" t="s">
        <v>69</v>
      </c>
      <c r="U4" s="16" t="s">
        <v>18</v>
      </c>
      <c r="V4" s="50" t="s">
        <v>4</v>
      </c>
      <c r="W4" s="50" t="s">
        <v>9</v>
      </c>
      <c r="X4" s="19" t="s">
        <v>27</v>
      </c>
    </row>
    <row r="5" spans="1:24" ht="13" x14ac:dyDescent="0.3">
      <c r="A5" s="59" t="s">
        <v>44</v>
      </c>
      <c r="B5" s="59" t="s">
        <v>45</v>
      </c>
      <c r="D5" s="62" t="s">
        <v>61</v>
      </c>
      <c r="E5" s="63" t="s">
        <v>66</v>
      </c>
      <c r="G5" s="1" t="s">
        <v>72</v>
      </c>
      <c r="H5" s="2" t="s">
        <v>71</v>
      </c>
      <c r="J5" s="1" t="s">
        <v>61</v>
      </c>
      <c r="K5" s="16" t="s">
        <v>6</v>
      </c>
      <c r="L5" s="19" t="s">
        <v>2</v>
      </c>
      <c r="N5" s="3" t="s">
        <v>17</v>
      </c>
      <c r="O5" s="20">
        <v>4</v>
      </c>
      <c r="P5" s="51">
        <v>5</v>
      </c>
      <c r="Q5" s="51"/>
      <c r="R5" s="33">
        <v>9</v>
      </c>
      <c r="T5" s="3" t="s">
        <v>63</v>
      </c>
      <c r="U5" s="20">
        <v>1</v>
      </c>
      <c r="V5" s="51">
        <v>1</v>
      </c>
      <c r="W5" s="51">
        <v>5</v>
      </c>
      <c r="X5" s="21"/>
    </row>
    <row r="6" spans="1:24" x14ac:dyDescent="0.25">
      <c r="A6" t="s">
        <v>23</v>
      </c>
      <c r="B6" s="15">
        <f>SUMIF('Form Responses 1'!$I$2:$I$108,Analysis!A6,'Form Responses 1'!$G$2:$G$108)</f>
        <v>1875000</v>
      </c>
      <c r="C6" s="15"/>
      <c r="D6" s="3" t="s">
        <v>18</v>
      </c>
      <c r="E6" s="40">
        <v>0.12149532710280374</v>
      </c>
      <c r="G6" s="3" t="s">
        <v>62</v>
      </c>
      <c r="H6" s="55">
        <v>177753.62318840579</v>
      </c>
      <c r="J6" s="3" t="s">
        <v>14</v>
      </c>
      <c r="K6" s="20">
        <v>2</v>
      </c>
      <c r="L6" s="21">
        <v>3</v>
      </c>
      <c r="N6" s="4" t="s">
        <v>14</v>
      </c>
      <c r="O6" s="24">
        <v>2</v>
      </c>
      <c r="P6" s="52">
        <v>3</v>
      </c>
      <c r="Q6" s="52"/>
      <c r="R6" s="34">
        <v>5</v>
      </c>
      <c r="T6" s="4" t="s">
        <v>64</v>
      </c>
      <c r="U6" s="24">
        <v>4</v>
      </c>
      <c r="V6" s="52">
        <v>1</v>
      </c>
      <c r="W6" s="52">
        <v>26</v>
      </c>
      <c r="X6" s="25"/>
    </row>
    <row r="7" spans="1:24" x14ac:dyDescent="0.25">
      <c r="A7" t="s">
        <v>38</v>
      </c>
      <c r="B7" s="15">
        <f>SUMIF('Form Responses 1'!$I$2:$I$108,Analysis!A7,'Form Responses 1'!$G$2:$G$108)</f>
        <v>1000000</v>
      </c>
      <c r="C7" s="15"/>
      <c r="D7" s="4" t="s">
        <v>4</v>
      </c>
      <c r="E7" s="41">
        <v>4.6728971962616821E-2</v>
      </c>
      <c r="G7" s="4" t="s">
        <v>64</v>
      </c>
      <c r="H7" s="56">
        <v>39193.548387096773</v>
      </c>
      <c r="J7" s="4" t="s">
        <v>17</v>
      </c>
      <c r="K7" s="24">
        <v>8</v>
      </c>
      <c r="L7" s="25">
        <v>1</v>
      </c>
      <c r="N7" s="4" t="s">
        <v>20</v>
      </c>
      <c r="O7" s="24">
        <v>5</v>
      </c>
      <c r="P7" s="52">
        <v>7</v>
      </c>
      <c r="Q7" s="52">
        <v>2</v>
      </c>
      <c r="R7" s="34">
        <v>14</v>
      </c>
      <c r="T7" s="18" t="s">
        <v>62</v>
      </c>
      <c r="U7" s="22">
        <v>8</v>
      </c>
      <c r="V7" s="54">
        <v>3</v>
      </c>
      <c r="W7" s="54">
        <v>56</v>
      </c>
      <c r="X7" s="23">
        <v>2</v>
      </c>
    </row>
    <row r="8" spans="1:24" x14ac:dyDescent="0.25">
      <c r="A8" t="s">
        <v>25</v>
      </c>
      <c r="B8" s="15">
        <f>SUMIF('Form Responses 1'!$I$2:$I$108,Analysis!A8,'Form Responses 1'!$G$2:$G$108)</f>
        <v>1220000</v>
      </c>
      <c r="C8" s="15"/>
      <c r="D8" s="4" t="s">
        <v>9</v>
      </c>
      <c r="E8" s="41">
        <v>0.81308411214953269</v>
      </c>
      <c r="G8" s="18" t="s">
        <v>63</v>
      </c>
      <c r="H8" s="57">
        <v>11142.857142857143</v>
      </c>
      <c r="J8" s="4" t="s">
        <v>20</v>
      </c>
      <c r="K8" s="24">
        <v>8</v>
      </c>
      <c r="L8" s="25">
        <v>6</v>
      </c>
      <c r="N8" s="4" t="s">
        <v>5</v>
      </c>
      <c r="O8" s="24">
        <v>21</v>
      </c>
      <c r="P8" s="52">
        <v>35</v>
      </c>
      <c r="Q8" s="52">
        <v>2</v>
      </c>
      <c r="R8" s="34">
        <v>58</v>
      </c>
    </row>
    <row r="9" spans="1:24" x14ac:dyDescent="0.25">
      <c r="A9" t="s">
        <v>12</v>
      </c>
      <c r="B9" s="15">
        <f>SUMIF('Form Responses 1'!$I$2:$I$108,Analysis!A9,'Form Responses 1'!$G$2:$G$108)</f>
        <v>9013000</v>
      </c>
      <c r="C9" s="15"/>
      <c r="D9" s="4" t="s">
        <v>27</v>
      </c>
      <c r="E9" s="41">
        <v>1.8691588785046728E-2</v>
      </c>
      <c r="J9" s="4" t="s">
        <v>15</v>
      </c>
      <c r="K9" s="24">
        <v>4</v>
      </c>
      <c r="L9" s="25">
        <v>17</v>
      </c>
      <c r="N9" s="4" t="s">
        <v>15</v>
      </c>
      <c r="O9" s="24">
        <v>6</v>
      </c>
      <c r="P9" s="52">
        <v>13</v>
      </c>
      <c r="Q9" s="52">
        <v>2</v>
      </c>
      <c r="R9" s="34">
        <v>21</v>
      </c>
    </row>
    <row r="10" spans="1:24" x14ac:dyDescent="0.25">
      <c r="A10" t="s">
        <v>39</v>
      </c>
      <c r="B10" s="15">
        <f>SUMIF('Form Responses 1'!$I$2:$I$108,Analysis!A10,'Form Responses 1'!$G$2:$G$108)</f>
        <v>450000</v>
      </c>
      <c r="C10" s="15"/>
      <c r="D10" s="39" t="s">
        <v>59</v>
      </c>
      <c r="E10" s="48">
        <v>1</v>
      </c>
      <c r="J10" s="18" t="s">
        <v>5</v>
      </c>
      <c r="K10" s="22">
        <v>21</v>
      </c>
      <c r="L10" s="23">
        <v>37</v>
      </c>
      <c r="N10" s="39" t="s">
        <v>59</v>
      </c>
      <c r="O10" s="49">
        <v>38</v>
      </c>
      <c r="P10" s="53">
        <v>63</v>
      </c>
      <c r="Q10" s="53">
        <v>6</v>
      </c>
      <c r="R10" s="44">
        <v>107</v>
      </c>
    </row>
    <row r="18" spans="1:12" ht="13" x14ac:dyDescent="0.3">
      <c r="A18" s="59" t="s">
        <v>1</v>
      </c>
      <c r="B18" s="59" t="s">
        <v>46</v>
      </c>
    </row>
    <row r="19" spans="1:12" x14ac:dyDescent="0.25">
      <c r="A19" t="s">
        <v>29</v>
      </c>
      <c r="B19">
        <f>COUNTIFS('Form Responses 1'!$D$2:$D$108,Analysis!A19,'Form Responses 1'!$H$2:$H$108,"High")</f>
        <v>2</v>
      </c>
    </row>
    <row r="20" spans="1:12" x14ac:dyDescent="0.25">
      <c r="A20" t="s">
        <v>37</v>
      </c>
      <c r="B20">
        <f>COUNTIFS('Form Responses 1'!$D$2:$D$108,Analysis!A20,'Form Responses 1'!$H$2:$H$108,"High")</f>
        <v>1</v>
      </c>
    </row>
    <row r="21" spans="1:12" x14ac:dyDescent="0.25">
      <c r="A21" t="s">
        <v>11</v>
      </c>
      <c r="B21">
        <f>COUNTIFS('Form Responses 1'!$D$2:$D$108,Analysis!A21,'Form Responses 1'!$H$2:$H$108,"High")</f>
        <v>2</v>
      </c>
    </row>
    <row r="22" spans="1:12" x14ac:dyDescent="0.25">
      <c r="A22" t="s">
        <v>35</v>
      </c>
      <c r="B22">
        <f>COUNTIFS('Form Responses 1'!$D$2:$D$108,Analysis!A22,'Form Responses 1'!$H$2:$H$108,"High")</f>
        <v>0</v>
      </c>
      <c r="D22" s="1" t="s">
        <v>0</v>
      </c>
      <c r="E22" s="2" t="s">
        <v>76</v>
      </c>
      <c r="G22" s="1" t="s">
        <v>61</v>
      </c>
      <c r="H22" s="2" t="s">
        <v>55</v>
      </c>
    </row>
    <row r="23" spans="1:12" x14ac:dyDescent="0.25">
      <c r="A23" t="s">
        <v>26</v>
      </c>
      <c r="B23">
        <f>COUNTIFS('Form Responses 1'!$D$2:$D$108,Analysis!A23,'Form Responses 1'!$H$2:$H$108,"High")</f>
        <v>1</v>
      </c>
      <c r="D23" s="3" t="s">
        <v>6</v>
      </c>
      <c r="E23" s="40">
        <v>0.40186915887850466</v>
      </c>
      <c r="G23" s="3" t="s">
        <v>25</v>
      </c>
      <c r="H23" s="45">
        <v>110909.09090909091</v>
      </c>
      <c r="K23" s="1" t="s">
        <v>50</v>
      </c>
      <c r="L23" s="2" t="s">
        <v>68</v>
      </c>
    </row>
    <row r="24" spans="1:12" x14ac:dyDescent="0.25">
      <c r="A24" t="s">
        <v>32</v>
      </c>
      <c r="B24">
        <f>COUNTIFS('Form Responses 1'!$D$2:$D$108,Analysis!A24,'Form Responses 1'!$H$2:$H$108,"High")</f>
        <v>1</v>
      </c>
      <c r="D24" s="4" t="s">
        <v>2</v>
      </c>
      <c r="E24" s="41">
        <v>0.59813084112149528</v>
      </c>
      <c r="G24" s="4" t="s">
        <v>39</v>
      </c>
      <c r="H24" s="46">
        <v>112500</v>
      </c>
      <c r="K24" s="3" t="s">
        <v>24</v>
      </c>
      <c r="L24" s="33">
        <v>6</v>
      </c>
    </row>
    <row r="25" spans="1:12" x14ac:dyDescent="0.25">
      <c r="A25" t="s">
        <v>34</v>
      </c>
      <c r="B25">
        <f>COUNTIFS('Form Responses 1'!$D$2:$D$108,Analysis!A25,'Form Responses 1'!$H$2:$H$108,"High")</f>
        <v>0</v>
      </c>
      <c r="D25" s="39" t="s">
        <v>59</v>
      </c>
      <c r="E25" s="48">
        <v>1</v>
      </c>
      <c r="G25" s="4" t="s">
        <v>38</v>
      </c>
      <c r="H25" s="46">
        <v>125000</v>
      </c>
      <c r="K25" s="4" t="s">
        <v>7</v>
      </c>
      <c r="L25" s="34">
        <v>38</v>
      </c>
    </row>
    <row r="26" spans="1:12" x14ac:dyDescent="0.25">
      <c r="A26" t="s">
        <v>22</v>
      </c>
      <c r="B26">
        <f>COUNTIFS('Form Responses 1'!$D$2:$D$108,Analysis!A26,'Form Responses 1'!$H$2:$H$108,"High")</f>
        <v>2</v>
      </c>
      <c r="G26" s="4" t="s">
        <v>12</v>
      </c>
      <c r="H26" s="46">
        <v>128757.14285714286</v>
      </c>
      <c r="K26" s="4" t="s">
        <v>3</v>
      </c>
      <c r="L26" s="34">
        <v>63</v>
      </c>
    </row>
    <row r="27" spans="1:12" x14ac:dyDescent="0.25">
      <c r="A27" t="s">
        <v>28</v>
      </c>
      <c r="B27">
        <f>COUNTIFS('Form Responses 1'!$D$2:$D$108,Analysis!A27,'Form Responses 1'!$H$2:$H$108,"High")</f>
        <v>2</v>
      </c>
      <c r="G27" s="18" t="s">
        <v>23</v>
      </c>
      <c r="H27" s="47">
        <v>133928.57142857142</v>
      </c>
      <c r="K27" s="39" t="s">
        <v>59</v>
      </c>
      <c r="L27" s="44">
        <v>107</v>
      </c>
    </row>
    <row r="28" spans="1:12" x14ac:dyDescent="0.25">
      <c r="A28" t="s">
        <v>8</v>
      </c>
      <c r="B28">
        <f>COUNTIFS('Form Responses 1'!$D$2:$D$108,Analysis!A28,'Form Responses 1'!$H$2:$H$108,"High")</f>
        <v>48</v>
      </c>
    </row>
    <row r="29" spans="1:12" x14ac:dyDescent="0.25">
      <c r="A29" t="s">
        <v>21</v>
      </c>
      <c r="B29">
        <f>COUNTIFS('Form Responses 1'!$D$2:$D$108,Analysis!A29,'Form Responses 1'!$H$2:$H$108,"High")</f>
        <v>6</v>
      </c>
    </row>
    <row r="30" spans="1:12" x14ac:dyDescent="0.25">
      <c r="A30" t="s">
        <v>30</v>
      </c>
      <c r="B30">
        <f>COUNTIFS('Form Responses 1'!$D$2:$D$108,Analysis!A30,'Form Responses 1'!$H$2:$H$108,"High")</f>
        <v>1</v>
      </c>
    </row>
    <row r="31" spans="1:12" x14ac:dyDescent="0.25">
      <c r="A31" t="s">
        <v>36</v>
      </c>
      <c r="B31">
        <f>COUNTIFS('Form Responses 1'!$D$2:$D$108,Analysis!A31,'Form Responses 1'!$H$2:$H$108,"High")</f>
        <v>1</v>
      </c>
    </row>
    <row r="32" spans="1:12" x14ac:dyDescent="0.25">
      <c r="A32" t="s">
        <v>33</v>
      </c>
      <c r="B32">
        <f>COUNTIFS('Form Responses 1'!$D$2:$D$108,Analysis!A32,'Form Responses 1'!$H$2:$H$108,"High")</f>
        <v>2</v>
      </c>
    </row>
    <row r="33" spans="1:5" x14ac:dyDescent="0.25">
      <c r="A33" t="s">
        <v>31</v>
      </c>
      <c r="B33">
        <f>COUNTIFS('Form Responses 1'!$D$2:$D$108,Analysis!A33,'Form Responses 1'!$H$2:$H$108,"High")</f>
        <v>0</v>
      </c>
    </row>
    <row r="36" spans="1:5" ht="13" x14ac:dyDescent="0.3">
      <c r="A36" s="66" t="s">
        <v>1</v>
      </c>
      <c r="B36" s="67" t="s">
        <v>77</v>
      </c>
      <c r="D36" s="1" t="s">
        <v>1</v>
      </c>
      <c r="E36" s="67" t="s">
        <v>78</v>
      </c>
    </row>
    <row r="37" spans="1:5" x14ac:dyDescent="0.25">
      <c r="A37" s="3" t="s">
        <v>8</v>
      </c>
      <c r="B37" s="33">
        <v>71</v>
      </c>
      <c r="D37" s="3" t="s">
        <v>40</v>
      </c>
      <c r="E37" s="33">
        <v>2</v>
      </c>
    </row>
    <row r="38" spans="1:5" x14ac:dyDescent="0.25">
      <c r="A38" s="4" t="s">
        <v>21</v>
      </c>
      <c r="B38" s="34">
        <v>8</v>
      </c>
      <c r="D38" s="4" t="s">
        <v>10</v>
      </c>
      <c r="E38" s="34">
        <v>4</v>
      </c>
    </row>
    <row r="39" spans="1:5" x14ac:dyDescent="0.25">
      <c r="A39" s="4" t="s">
        <v>28</v>
      </c>
      <c r="B39" s="34">
        <v>5</v>
      </c>
      <c r="D39" s="4" t="s">
        <v>13</v>
      </c>
      <c r="E39" s="34">
        <v>5</v>
      </c>
    </row>
    <row r="40" spans="1:5" x14ac:dyDescent="0.25">
      <c r="A40" s="64" t="s">
        <v>29</v>
      </c>
      <c r="B40" s="34">
        <v>5</v>
      </c>
      <c r="D40" s="4" t="s">
        <v>19</v>
      </c>
      <c r="E40" s="34">
        <v>37</v>
      </c>
    </row>
    <row r="41" spans="1:5" x14ac:dyDescent="0.25">
      <c r="A41" s="4" t="s">
        <v>33</v>
      </c>
      <c r="B41" s="34">
        <v>4</v>
      </c>
      <c r="D41" s="18" t="s">
        <v>16</v>
      </c>
      <c r="E41" s="65">
        <v>59</v>
      </c>
    </row>
    <row r="42" spans="1:5" x14ac:dyDescent="0.25">
      <c r="A42" s="4" t="s">
        <v>36</v>
      </c>
      <c r="B42" s="34">
        <v>2</v>
      </c>
    </row>
    <row r="43" spans="1:5" x14ac:dyDescent="0.25">
      <c r="A43" s="64" t="s">
        <v>11</v>
      </c>
      <c r="B43" s="34">
        <v>2</v>
      </c>
    </row>
    <row r="44" spans="1:5" x14ac:dyDescent="0.25">
      <c r="A44" s="4" t="s">
        <v>26</v>
      </c>
      <c r="B44" s="34">
        <v>2</v>
      </c>
    </row>
    <row r="45" spans="1:5" x14ac:dyDescent="0.25">
      <c r="A45" s="4" t="s">
        <v>22</v>
      </c>
      <c r="B45" s="34">
        <v>2</v>
      </c>
    </row>
    <row r="46" spans="1:5" x14ac:dyDescent="0.25">
      <c r="A46" s="4" t="s">
        <v>35</v>
      </c>
      <c r="B46" s="34">
        <v>1</v>
      </c>
    </row>
    <row r="47" spans="1:5" x14ac:dyDescent="0.25">
      <c r="A47" s="4" t="s">
        <v>31</v>
      </c>
      <c r="B47" s="34">
        <v>1</v>
      </c>
    </row>
    <row r="48" spans="1:5" x14ac:dyDescent="0.25">
      <c r="A48" s="64" t="s">
        <v>37</v>
      </c>
      <c r="B48" s="34">
        <v>1</v>
      </c>
    </row>
    <row r="49" spans="1:2" x14ac:dyDescent="0.25">
      <c r="A49" s="4" t="s">
        <v>34</v>
      </c>
      <c r="B49" s="34">
        <v>1</v>
      </c>
    </row>
    <row r="50" spans="1:2" x14ac:dyDescent="0.25">
      <c r="A50" s="4" t="s">
        <v>32</v>
      </c>
      <c r="B50" s="34">
        <v>1</v>
      </c>
    </row>
    <row r="51" spans="1:2" x14ac:dyDescent="0.25">
      <c r="A51" s="18" t="s">
        <v>30</v>
      </c>
      <c r="B51" s="65">
        <v>1</v>
      </c>
    </row>
  </sheetData>
  <autoFilter ref="A18:B18" xr:uid="{EBB08EB3-8DAA-4D93-87A0-0B74CDA711F1}"/>
  <conditionalFormatting sqref="A18:B33">
    <cfRule type="dataBar" priority="3">
      <dataBar>
        <cfvo type="min"/>
        <cfvo type="max"/>
        <color rgb="FF63C384"/>
      </dataBar>
      <extLst>
        <ext xmlns:x14="http://schemas.microsoft.com/office/spreadsheetml/2009/9/main" uri="{B025F937-C7B1-47D3-B67F-A62EFF666E3E}">
          <x14:id>{FE09CF1F-2EC9-4BF9-9BD2-0B2D3E009BCE}</x14:id>
        </ext>
      </extLst>
    </cfRule>
  </conditionalFormatting>
  <conditionalFormatting sqref="A36:B51">
    <cfRule type="dataBar" priority="2">
      <dataBar>
        <cfvo type="min"/>
        <cfvo type="max"/>
        <color rgb="FF63C384"/>
      </dataBar>
      <extLst>
        <ext xmlns:x14="http://schemas.microsoft.com/office/spreadsheetml/2009/9/main" uri="{B025F937-C7B1-47D3-B67F-A62EFF666E3E}">
          <x14:id>{8963B6B1-A7AB-4FA8-AF06-E40825857D79}</x14:id>
        </ext>
      </extLst>
    </cfRule>
  </conditionalFormatting>
  <conditionalFormatting sqref="D36:E36">
    <cfRule type="dataBar" priority="1">
      <dataBar>
        <cfvo type="min"/>
        <cfvo type="max"/>
        <color rgb="FF63C384"/>
      </dataBar>
      <extLst>
        <ext xmlns:x14="http://schemas.microsoft.com/office/spreadsheetml/2009/9/main" uri="{B025F937-C7B1-47D3-B67F-A62EFF666E3E}">
          <x14:id>{017ADB0A-B8EB-4CE4-A4ED-05CD15E2B622}</x14:id>
        </ext>
      </extLst>
    </cfRule>
  </conditionalFormatting>
  <pageMargins left="0.7" right="0.7" top="0.75" bottom="0.75" header="0.3" footer="0.3"/>
  <pageSetup orientation="portrait" r:id="rId14"/>
  <drawing r:id="rId15"/>
  <extLst>
    <ext xmlns:x14="http://schemas.microsoft.com/office/spreadsheetml/2009/9/main" uri="{78C0D931-6437-407d-A8EE-F0AAD7539E65}">
      <x14:conditionalFormattings>
        <x14:conditionalFormatting xmlns:xm="http://schemas.microsoft.com/office/excel/2006/main">
          <x14:cfRule type="dataBar" id="{FE09CF1F-2EC9-4BF9-9BD2-0B2D3E009BCE}">
            <x14:dataBar minLength="0" maxLength="100" border="1" negativeBarBorderColorSameAsPositive="0">
              <x14:cfvo type="autoMin"/>
              <x14:cfvo type="autoMax"/>
              <x14:borderColor rgb="FF63C384"/>
              <x14:negativeFillColor rgb="FFFF0000"/>
              <x14:negativeBorderColor rgb="FFFF0000"/>
              <x14:axisColor rgb="FF000000"/>
            </x14:dataBar>
          </x14:cfRule>
          <xm:sqref>A18:B33</xm:sqref>
        </x14:conditionalFormatting>
        <x14:conditionalFormatting xmlns:xm="http://schemas.microsoft.com/office/excel/2006/main">
          <x14:cfRule type="dataBar" id="{8963B6B1-A7AB-4FA8-AF06-E40825857D79}">
            <x14:dataBar minLength="0" maxLength="100" border="1" negativeBarBorderColorSameAsPositive="0">
              <x14:cfvo type="autoMin"/>
              <x14:cfvo type="autoMax"/>
              <x14:borderColor rgb="FF63C384"/>
              <x14:negativeFillColor rgb="FFFF0000"/>
              <x14:negativeBorderColor rgb="FFFF0000"/>
              <x14:axisColor rgb="FF000000"/>
            </x14:dataBar>
          </x14:cfRule>
          <xm:sqref>A36:B51</xm:sqref>
        </x14:conditionalFormatting>
        <x14:conditionalFormatting xmlns:xm="http://schemas.microsoft.com/office/excel/2006/main">
          <x14:cfRule type="dataBar" id="{017ADB0A-B8EB-4CE4-A4ED-05CD15E2B622}">
            <x14:dataBar minLength="0" maxLength="100" border="1" negativeBarBorderColorSameAsPositive="0">
              <x14:cfvo type="autoMin"/>
              <x14:cfvo type="autoMax"/>
              <x14:borderColor rgb="FF63C384"/>
              <x14:negativeFillColor rgb="FFFF0000"/>
              <x14:negativeBorderColor rgb="FFFF0000"/>
              <x14:axisColor rgb="FF000000"/>
            </x14:dataBar>
          </x14:cfRule>
          <xm:sqref>D36:E36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C0A60-E154-4BE5-966F-DB6B2D9B72BB}">
  <sheetPr>
    <tabColor rgb="FF00B050"/>
  </sheetPr>
  <dimension ref="A1:T32"/>
  <sheetViews>
    <sheetView showGridLines="0" showRowColHeaders="0" zoomScaleNormal="100" workbookViewId="0">
      <selection activeCell="S15" sqref="S15"/>
    </sheetView>
  </sheetViews>
  <sheetFormatPr defaultRowHeight="12.5" x14ac:dyDescent="0.25"/>
  <sheetData>
    <row r="1" spans="1:20" x14ac:dyDescent="0.25">
      <c r="A1" s="42"/>
      <c r="B1" s="42"/>
      <c r="C1" s="42"/>
      <c r="D1" s="42"/>
      <c r="E1" s="42"/>
      <c r="F1" s="42"/>
      <c r="G1" s="42"/>
      <c r="H1" s="42"/>
      <c r="I1" s="42"/>
      <c r="J1" s="42"/>
      <c r="K1" s="42"/>
      <c r="L1" s="42"/>
      <c r="M1" s="42"/>
      <c r="N1" s="42"/>
      <c r="O1" s="42"/>
      <c r="P1" s="42"/>
      <c r="Q1" s="42"/>
      <c r="R1" s="42"/>
      <c r="S1" s="42"/>
      <c r="T1" s="42"/>
    </row>
    <row r="2" spans="1:20" x14ac:dyDescent="0.25">
      <c r="A2" s="42"/>
      <c r="B2" s="42"/>
      <c r="C2" s="42"/>
      <c r="D2" s="42"/>
      <c r="E2" s="42"/>
      <c r="F2" s="42"/>
      <c r="G2" s="42"/>
      <c r="H2" s="42"/>
      <c r="I2" s="42"/>
      <c r="J2" s="42"/>
      <c r="K2" s="42"/>
      <c r="L2" s="42"/>
      <c r="M2" s="42"/>
      <c r="N2" s="42"/>
      <c r="O2" s="42"/>
      <c r="P2" s="42"/>
      <c r="Q2" s="42"/>
      <c r="R2" s="42"/>
      <c r="S2" s="42"/>
      <c r="T2" s="42"/>
    </row>
    <row r="3" spans="1:20" x14ac:dyDescent="0.25">
      <c r="A3" s="42"/>
      <c r="B3" s="42"/>
      <c r="C3" s="42"/>
      <c r="D3" s="42"/>
      <c r="E3" s="42"/>
      <c r="F3" s="42"/>
      <c r="G3" s="42"/>
      <c r="H3" s="42"/>
      <c r="I3" s="42"/>
      <c r="J3" s="42"/>
      <c r="K3" s="42"/>
      <c r="L3" s="42"/>
      <c r="M3" s="42"/>
      <c r="N3" s="42"/>
      <c r="O3" s="42"/>
      <c r="P3" s="42"/>
      <c r="Q3" s="42"/>
      <c r="R3" s="42"/>
      <c r="S3" s="42"/>
      <c r="T3" s="42"/>
    </row>
    <row r="4" spans="1:20" x14ac:dyDescent="0.25">
      <c r="A4" s="42"/>
      <c r="B4" s="42"/>
      <c r="C4" s="42"/>
      <c r="D4" s="42"/>
      <c r="E4" s="42"/>
      <c r="F4" s="42"/>
      <c r="G4" s="42"/>
      <c r="H4" s="42"/>
      <c r="I4" s="42"/>
      <c r="J4" s="42"/>
      <c r="K4" s="42"/>
      <c r="L4" s="42"/>
      <c r="M4" s="42"/>
      <c r="N4" s="42"/>
      <c r="O4" s="42"/>
      <c r="P4" s="42"/>
      <c r="Q4" s="42"/>
      <c r="R4" s="42"/>
      <c r="S4" s="42"/>
      <c r="T4" s="42"/>
    </row>
    <row r="5" spans="1:20" x14ac:dyDescent="0.25">
      <c r="A5" s="42"/>
      <c r="B5" s="42"/>
      <c r="C5" s="42"/>
      <c r="D5" s="42"/>
      <c r="E5" s="42"/>
      <c r="F5" s="42"/>
      <c r="G5" s="42"/>
      <c r="H5" s="42"/>
      <c r="I5" s="42"/>
      <c r="J5" s="42"/>
      <c r="K5" s="42"/>
      <c r="L5" s="42"/>
      <c r="M5" s="42"/>
      <c r="N5" s="42"/>
      <c r="O5" s="42"/>
      <c r="P5" s="42"/>
      <c r="Q5" s="42"/>
      <c r="R5" s="42"/>
      <c r="S5" s="42"/>
      <c r="T5" s="42"/>
    </row>
    <row r="6" spans="1:20" x14ac:dyDescent="0.25">
      <c r="A6" s="42"/>
      <c r="B6" s="42"/>
      <c r="C6" s="42"/>
      <c r="D6" s="42"/>
      <c r="E6" s="42"/>
      <c r="F6" s="42"/>
      <c r="G6" s="42"/>
      <c r="H6" s="42"/>
      <c r="I6" s="42"/>
      <c r="J6" s="42"/>
      <c r="K6" s="42"/>
      <c r="L6" s="42"/>
      <c r="M6" s="42"/>
      <c r="N6" s="42"/>
      <c r="O6" s="42"/>
      <c r="P6" s="42"/>
      <c r="Q6" s="42"/>
      <c r="R6" s="42"/>
      <c r="S6" s="42"/>
      <c r="T6" s="42"/>
    </row>
    <row r="7" spans="1:20" x14ac:dyDescent="0.25">
      <c r="A7" s="42"/>
      <c r="B7" s="42"/>
      <c r="C7" s="42"/>
      <c r="D7" s="42"/>
      <c r="E7" s="42"/>
      <c r="F7" s="42"/>
      <c r="G7" s="42"/>
      <c r="H7" s="42"/>
      <c r="I7" s="42"/>
      <c r="J7" s="42"/>
      <c r="K7" s="42"/>
      <c r="L7" s="42"/>
      <c r="M7" s="42"/>
      <c r="N7" s="42"/>
      <c r="O7" s="42"/>
      <c r="P7" s="42"/>
      <c r="Q7" s="42"/>
      <c r="R7" s="42"/>
      <c r="S7" s="42"/>
      <c r="T7" s="42"/>
    </row>
    <row r="8" spans="1:20" x14ac:dyDescent="0.25">
      <c r="A8" s="42"/>
      <c r="B8" s="42"/>
      <c r="C8" s="42"/>
      <c r="D8" s="42"/>
      <c r="E8" s="42"/>
      <c r="F8" s="42"/>
      <c r="G8" s="42"/>
      <c r="H8" s="42"/>
      <c r="I8" s="42"/>
      <c r="J8" s="42"/>
      <c r="K8" s="42"/>
      <c r="L8" s="42"/>
      <c r="M8" s="42"/>
      <c r="N8" s="42"/>
      <c r="O8" s="42"/>
      <c r="P8" s="42"/>
      <c r="Q8" s="42"/>
      <c r="R8" s="42"/>
      <c r="S8" s="42"/>
      <c r="T8" s="42"/>
    </row>
    <row r="9" spans="1:20" x14ac:dyDescent="0.25">
      <c r="A9" s="42"/>
      <c r="B9" s="42"/>
      <c r="C9" s="42"/>
      <c r="D9" s="42"/>
      <c r="E9" s="42"/>
      <c r="F9" s="42"/>
      <c r="G9" s="42"/>
      <c r="H9" s="42"/>
      <c r="I9" s="42"/>
      <c r="J9" s="42"/>
      <c r="K9" s="42"/>
      <c r="L9" s="42"/>
      <c r="M9" s="42"/>
      <c r="N9" s="42"/>
      <c r="O9" s="42"/>
      <c r="P9" s="42"/>
      <c r="Q9" s="42"/>
      <c r="R9" s="42"/>
      <c r="S9" s="42"/>
      <c r="T9" s="42"/>
    </row>
    <row r="10" spans="1:20" x14ac:dyDescent="0.25">
      <c r="A10" s="42"/>
      <c r="B10" s="42"/>
      <c r="C10" s="42"/>
      <c r="D10" s="42"/>
      <c r="E10" s="42"/>
      <c r="F10" s="42"/>
      <c r="G10" s="42"/>
      <c r="H10" s="42"/>
      <c r="I10" s="42"/>
      <c r="J10" s="42"/>
      <c r="K10" s="42"/>
      <c r="L10" s="42"/>
      <c r="M10" s="42"/>
      <c r="N10" s="42"/>
      <c r="O10" s="42"/>
      <c r="P10" s="42"/>
      <c r="Q10" s="42"/>
      <c r="R10" s="42"/>
      <c r="S10" s="42"/>
      <c r="T10" s="42"/>
    </row>
    <row r="11" spans="1:20" x14ac:dyDescent="0.25">
      <c r="A11" s="42"/>
      <c r="B11" s="42"/>
      <c r="C11" s="42"/>
      <c r="D11" s="42"/>
      <c r="E11" s="42"/>
      <c r="F11" s="42"/>
      <c r="G11" s="42"/>
      <c r="H11" s="42"/>
      <c r="I11" s="42"/>
      <c r="J11" s="42"/>
      <c r="K11" s="42"/>
      <c r="L11" s="42"/>
      <c r="M11" s="42"/>
      <c r="N11" s="42"/>
      <c r="O11" s="42"/>
      <c r="P11" s="42"/>
      <c r="Q11" s="42"/>
      <c r="R11" s="42"/>
      <c r="S11" s="42"/>
      <c r="T11" s="42"/>
    </row>
    <row r="12" spans="1:20" x14ac:dyDescent="0.25">
      <c r="A12" s="42"/>
      <c r="B12" s="42"/>
      <c r="C12" s="42"/>
      <c r="D12" s="42"/>
      <c r="E12" s="42"/>
      <c r="F12" s="42"/>
      <c r="G12" s="42"/>
      <c r="H12" s="42"/>
      <c r="I12" s="42"/>
      <c r="J12" s="42"/>
      <c r="K12" s="42"/>
      <c r="L12" s="42"/>
      <c r="M12" s="42"/>
      <c r="N12" s="42"/>
      <c r="O12" s="42"/>
      <c r="P12" s="42"/>
      <c r="Q12" s="42"/>
      <c r="R12" s="42"/>
      <c r="S12" s="42"/>
      <c r="T12" s="42"/>
    </row>
    <row r="13" spans="1:20" x14ac:dyDescent="0.25">
      <c r="A13" s="42"/>
      <c r="B13" s="42"/>
      <c r="C13" s="42"/>
      <c r="D13" s="42"/>
      <c r="E13" s="42"/>
      <c r="F13" s="42"/>
      <c r="G13" s="42"/>
      <c r="H13" s="42"/>
      <c r="I13" s="42"/>
      <c r="J13" s="42"/>
      <c r="K13" s="42"/>
      <c r="L13" s="42"/>
      <c r="M13" s="42"/>
      <c r="N13" s="42"/>
      <c r="O13" s="42"/>
      <c r="P13" s="42"/>
      <c r="Q13" s="42"/>
      <c r="R13" s="42"/>
      <c r="S13" s="42"/>
      <c r="T13" s="42"/>
    </row>
    <row r="14" spans="1:20" x14ac:dyDescent="0.25">
      <c r="A14" s="42"/>
      <c r="B14" s="42"/>
      <c r="C14" s="42"/>
      <c r="D14" s="42"/>
      <c r="E14" s="42"/>
      <c r="F14" s="42"/>
      <c r="G14" s="42"/>
      <c r="H14" s="42"/>
      <c r="I14" s="42"/>
      <c r="J14" s="42"/>
      <c r="K14" s="42"/>
      <c r="L14" s="42"/>
      <c r="M14" s="42"/>
      <c r="N14" s="42"/>
      <c r="O14" s="42"/>
      <c r="P14" s="42"/>
      <c r="Q14" s="42"/>
      <c r="R14" s="42"/>
      <c r="S14" s="42"/>
      <c r="T14" s="42"/>
    </row>
    <row r="15" spans="1:20" x14ac:dyDescent="0.25">
      <c r="A15" s="42"/>
      <c r="B15" s="42"/>
      <c r="C15" s="42"/>
      <c r="D15" s="42"/>
      <c r="E15" s="42"/>
      <c r="F15" s="42"/>
      <c r="G15" s="42"/>
      <c r="H15" s="42"/>
      <c r="I15" s="42"/>
      <c r="J15" s="42"/>
      <c r="K15" s="42"/>
      <c r="L15" s="42"/>
      <c r="M15" s="42"/>
      <c r="N15" s="42"/>
      <c r="O15" s="42"/>
      <c r="P15" s="42"/>
      <c r="Q15" s="42"/>
      <c r="R15" s="42"/>
      <c r="S15" s="42"/>
      <c r="T15" s="42"/>
    </row>
    <row r="16" spans="1:20" x14ac:dyDescent="0.25">
      <c r="A16" s="42"/>
      <c r="B16" s="42"/>
      <c r="C16" s="42"/>
      <c r="D16" s="42"/>
      <c r="E16" s="42"/>
      <c r="F16" s="42"/>
      <c r="G16" s="42"/>
      <c r="H16" s="42"/>
      <c r="I16" s="42"/>
      <c r="J16" s="42"/>
      <c r="K16" s="42"/>
      <c r="L16" s="42"/>
      <c r="M16" s="42"/>
      <c r="N16" s="42"/>
      <c r="O16" s="42"/>
      <c r="P16" s="42"/>
      <c r="Q16" s="42"/>
      <c r="R16" s="42"/>
      <c r="S16" s="42"/>
      <c r="T16" s="42"/>
    </row>
    <row r="17" spans="1:20" x14ac:dyDescent="0.25">
      <c r="A17" s="42"/>
      <c r="B17" s="42"/>
      <c r="C17" s="42"/>
      <c r="D17" s="42"/>
      <c r="E17" s="42"/>
      <c r="F17" s="42"/>
      <c r="G17" s="42"/>
      <c r="H17" s="42"/>
      <c r="I17" s="42"/>
      <c r="J17" s="42"/>
      <c r="K17" s="42"/>
      <c r="L17" s="42"/>
      <c r="M17" s="42"/>
      <c r="N17" s="42"/>
      <c r="O17" s="42"/>
      <c r="P17" s="42"/>
      <c r="Q17" s="42"/>
      <c r="R17" s="42"/>
      <c r="S17" s="42"/>
      <c r="T17" s="42"/>
    </row>
    <row r="18" spans="1:20" x14ac:dyDescent="0.25">
      <c r="A18" s="42"/>
      <c r="B18" s="42"/>
      <c r="C18" s="42"/>
      <c r="D18" s="42"/>
      <c r="E18" s="42"/>
      <c r="F18" s="42"/>
      <c r="G18" s="42"/>
      <c r="H18" s="42"/>
      <c r="I18" s="42"/>
      <c r="J18" s="42"/>
      <c r="K18" s="42"/>
      <c r="L18" s="42"/>
      <c r="M18" s="42"/>
      <c r="N18" s="42"/>
      <c r="O18" s="42"/>
      <c r="P18" s="42"/>
      <c r="Q18" s="42"/>
      <c r="R18" s="42"/>
      <c r="S18" s="42"/>
      <c r="T18" s="42"/>
    </row>
    <row r="19" spans="1:20" x14ac:dyDescent="0.25">
      <c r="A19" s="42"/>
      <c r="B19" s="42"/>
      <c r="C19" s="42"/>
      <c r="D19" s="42"/>
      <c r="E19" s="42"/>
      <c r="F19" s="42"/>
      <c r="G19" s="42"/>
      <c r="H19" s="42"/>
      <c r="I19" s="42"/>
      <c r="J19" s="42"/>
      <c r="K19" s="42"/>
      <c r="L19" s="42"/>
      <c r="M19" s="42"/>
      <c r="N19" s="42"/>
      <c r="O19" s="42"/>
      <c r="P19" s="42"/>
      <c r="Q19" s="42"/>
      <c r="R19" s="42"/>
      <c r="S19" s="42"/>
      <c r="T19" s="42"/>
    </row>
    <row r="20" spans="1:20" x14ac:dyDescent="0.25">
      <c r="A20" s="42"/>
      <c r="B20" s="42"/>
      <c r="C20" s="42"/>
      <c r="D20" s="42"/>
      <c r="E20" s="42"/>
      <c r="F20" s="42"/>
      <c r="G20" s="42"/>
      <c r="H20" s="42"/>
      <c r="I20" s="42"/>
      <c r="J20" s="42"/>
      <c r="K20" s="42"/>
      <c r="L20" s="42"/>
      <c r="M20" s="42"/>
      <c r="N20" s="42"/>
      <c r="O20" s="42"/>
      <c r="P20" s="42"/>
      <c r="Q20" s="42"/>
      <c r="R20" s="42"/>
      <c r="S20" s="42"/>
      <c r="T20" s="42"/>
    </row>
    <row r="21" spans="1:20" x14ac:dyDescent="0.25">
      <c r="A21" s="42"/>
      <c r="B21" s="42"/>
      <c r="C21" s="42"/>
      <c r="D21" s="42"/>
      <c r="E21" s="42"/>
      <c r="F21" s="42"/>
      <c r="G21" s="42"/>
      <c r="H21" s="42"/>
      <c r="I21" s="42"/>
      <c r="J21" s="42"/>
      <c r="K21" s="42"/>
      <c r="L21" s="42"/>
      <c r="M21" s="42"/>
      <c r="N21" s="42"/>
      <c r="O21" s="42"/>
      <c r="P21" s="42"/>
      <c r="Q21" s="42"/>
      <c r="R21" s="42"/>
      <c r="S21" s="42"/>
      <c r="T21" s="42"/>
    </row>
    <row r="22" spans="1:20" x14ac:dyDescent="0.25">
      <c r="A22" s="42"/>
      <c r="B22" s="42"/>
      <c r="C22" s="42"/>
      <c r="D22" s="42"/>
      <c r="E22" s="42"/>
      <c r="F22" s="42"/>
      <c r="G22" s="42"/>
      <c r="H22" s="42"/>
      <c r="I22" s="42"/>
      <c r="J22" s="42"/>
      <c r="K22" s="42"/>
      <c r="L22" s="42"/>
      <c r="M22" s="42"/>
      <c r="N22" s="42"/>
      <c r="O22" s="42"/>
      <c r="P22" s="42"/>
      <c r="Q22" s="42"/>
      <c r="R22" s="42"/>
      <c r="S22" s="42"/>
      <c r="T22" s="42"/>
    </row>
    <row r="23" spans="1:20" x14ac:dyDescent="0.25">
      <c r="A23" s="42"/>
      <c r="B23" s="42"/>
      <c r="C23" s="42"/>
      <c r="D23" s="42"/>
      <c r="E23" s="42"/>
      <c r="F23" s="42"/>
      <c r="G23" s="42"/>
      <c r="H23" s="42"/>
      <c r="I23" s="42"/>
      <c r="J23" s="42"/>
      <c r="K23" s="42"/>
      <c r="L23" s="42"/>
      <c r="M23" s="42"/>
      <c r="N23" s="42"/>
      <c r="O23" s="42"/>
      <c r="P23" s="42"/>
      <c r="Q23" s="42"/>
      <c r="R23" s="42"/>
      <c r="S23" s="42"/>
      <c r="T23" s="42"/>
    </row>
    <row r="24" spans="1:20" x14ac:dyDescent="0.25">
      <c r="A24" s="42"/>
      <c r="B24" s="42"/>
      <c r="C24" s="42"/>
      <c r="D24" s="42"/>
      <c r="E24" s="42"/>
      <c r="F24" s="42"/>
      <c r="G24" s="42"/>
      <c r="H24" s="42"/>
      <c r="I24" s="42"/>
      <c r="J24" s="42"/>
      <c r="K24" s="42"/>
      <c r="L24" s="42"/>
      <c r="M24" s="42"/>
      <c r="N24" s="42"/>
      <c r="O24" s="42"/>
      <c r="P24" s="42"/>
      <c r="Q24" s="42"/>
      <c r="R24" s="42"/>
      <c r="S24" s="42"/>
      <c r="T24" s="42"/>
    </row>
    <row r="25" spans="1:20" x14ac:dyDescent="0.25">
      <c r="A25" s="42"/>
      <c r="B25" s="42"/>
      <c r="C25" s="42"/>
      <c r="D25" s="42"/>
      <c r="E25" s="42"/>
      <c r="F25" s="42"/>
      <c r="G25" s="42"/>
      <c r="H25" s="42"/>
      <c r="I25" s="42"/>
      <c r="J25" s="42"/>
      <c r="K25" s="42"/>
      <c r="L25" s="42"/>
      <c r="M25" s="42"/>
      <c r="N25" s="42"/>
      <c r="O25" s="42"/>
      <c r="P25" s="42"/>
      <c r="Q25" s="42"/>
      <c r="R25" s="42"/>
      <c r="S25" s="42"/>
      <c r="T25" s="42"/>
    </row>
    <row r="26" spans="1:20" x14ac:dyDescent="0.25">
      <c r="A26" s="42"/>
      <c r="B26" s="42"/>
      <c r="C26" s="42"/>
      <c r="D26" s="42"/>
      <c r="E26" s="42"/>
      <c r="F26" s="42"/>
      <c r="G26" s="42"/>
      <c r="H26" s="42"/>
      <c r="I26" s="42"/>
      <c r="J26" s="42"/>
      <c r="K26" s="42"/>
      <c r="L26" s="42"/>
      <c r="M26" s="42"/>
      <c r="N26" s="42"/>
      <c r="O26" s="42"/>
      <c r="P26" s="42"/>
      <c r="Q26" s="42"/>
      <c r="R26" s="42"/>
      <c r="S26" s="42"/>
      <c r="T26" s="42"/>
    </row>
    <row r="27" spans="1:20" x14ac:dyDescent="0.25">
      <c r="A27" s="42"/>
      <c r="B27" s="42"/>
      <c r="C27" s="42"/>
      <c r="D27" s="42"/>
      <c r="E27" s="42"/>
      <c r="F27" s="42"/>
      <c r="G27" s="42"/>
      <c r="H27" s="42"/>
      <c r="I27" s="42"/>
      <c r="J27" s="42"/>
      <c r="K27" s="42"/>
      <c r="L27" s="42"/>
      <c r="M27" s="42"/>
      <c r="N27" s="42"/>
      <c r="O27" s="42"/>
      <c r="P27" s="42"/>
      <c r="Q27" s="42"/>
      <c r="R27" s="42"/>
      <c r="S27" s="42"/>
      <c r="T27" s="42"/>
    </row>
    <row r="28" spans="1:20" x14ac:dyDescent="0.25">
      <c r="A28" s="42"/>
      <c r="B28" s="42"/>
      <c r="C28" s="42"/>
      <c r="D28" s="42"/>
      <c r="E28" s="42"/>
      <c r="F28" s="42"/>
      <c r="G28" s="42"/>
      <c r="H28" s="42"/>
      <c r="I28" s="42"/>
      <c r="J28" s="42"/>
      <c r="K28" s="42"/>
      <c r="L28" s="42"/>
      <c r="M28" s="42"/>
      <c r="N28" s="42"/>
      <c r="O28" s="42"/>
      <c r="P28" s="42"/>
      <c r="Q28" s="42"/>
      <c r="R28" s="42"/>
      <c r="S28" s="42"/>
      <c r="T28" s="42"/>
    </row>
    <row r="29" spans="1:20" x14ac:dyDescent="0.25">
      <c r="A29" s="42"/>
      <c r="B29" s="42"/>
      <c r="C29" s="42"/>
      <c r="D29" s="42"/>
      <c r="E29" s="42"/>
      <c r="F29" s="42"/>
      <c r="G29" s="42"/>
      <c r="H29" s="42"/>
      <c r="I29" s="42"/>
      <c r="J29" s="42"/>
      <c r="K29" s="42"/>
      <c r="L29" s="42"/>
      <c r="M29" s="42"/>
      <c r="N29" s="42"/>
      <c r="O29" s="42"/>
      <c r="P29" s="42"/>
      <c r="Q29" s="42"/>
      <c r="R29" s="42"/>
      <c r="S29" s="42"/>
      <c r="T29" s="42"/>
    </row>
    <row r="30" spans="1:20" x14ac:dyDescent="0.25">
      <c r="A30" s="42"/>
      <c r="B30" s="42"/>
      <c r="C30" s="42"/>
      <c r="D30" s="42"/>
      <c r="E30" s="42"/>
      <c r="F30" s="42"/>
      <c r="G30" s="42"/>
      <c r="H30" s="42"/>
      <c r="I30" s="42"/>
      <c r="J30" s="42"/>
      <c r="K30" s="42"/>
      <c r="L30" s="42"/>
      <c r="M30" s="42"/>
      <c r="N30" s="42"/>
      <c r="O30" s="42"/>
      <c r="P30" s="42"/>
      <c r="Q30" s="42"/>
      <c r="R30" s="42"/>
      <c r="S30" s="42"/>
      <c r="T30" s="42"/>
    </row>
    <row r="31" spans="1:20" x14ac:dyDescent="0.25">
      <c r="A31" s="42"/>
      <c r="B31" s="42"/>
      <c r="C31" s="42"/>
      <c r="D31" s="42"/>
      <c r="E31" s="42"/>
      <c r="F31" s="42"/>
      <c r="G31" s="42"/>
      <c r="H31" s="42"/>
      <c r="I31" s="42"/>
      <c r="J31" s="42"/>
      <c r="K31" s="42"/>
      <c r="L31" s="42"/>
      <c r="M31" s="42"/>
      <c r="N31" s="42"/>
      <c r="O31" s="42"/>
      <c r="P31" s="42"/>
      <c r="Q31" s="42"/>
      <c r="R31" s="42"/>
      <c r="S31" s="42"/>
      <c r="T31" s="42"/>
    </row>
    <row r="32" spans="1:20" x14ac:dyDescent="0.25">
      <c r="A32" s="42"/>
      <c r="B32" s="42"/>
      <c r="C32" s="42"/>
      <c r="D32" s="42"/>
      <c r="E32" s="42"/>
      <c r="F32" s="42"/>
      <c r="G32" s="42"/>
      <c r="H32" s="42"/>
      <c r="I32" s="42"/>
      <c r="J32" s="42"/>
      <c r="K32" s="42"/>
      <c r="L32" s="42"/>
      <c r="M32" s="42"/>
      <c r="N32" s="42"/>
      <c r="O32" s="42"/>
      <c r="P32" s="42"/>
      <c r="Q32" s="42"/>
      <c r="R32" s="42"/>
      <c r="S32" s="42"/>
      <c r="T32"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Responses 1</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Ayanfe Oladipo</cp:lastModifiedBy>
  <dcterms:created xsi:type="dcterms:W3CDTF">2025-11-07T22:38:22Z</dcterms:created>
  <dcterms:modified xsi:type="dcterms:W3CDTF">2025-11-08T08:18:23Z</dcterms:modified>
</cp:coreProperties>
</file>